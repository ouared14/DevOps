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nban" sheetId="1" state="visible" r:id="rId3"/>
    <sheet name="Tâch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<sst xmlns="http://schemas.openxmlformats.org/spreadsheetml/2006/main" count="48" uniqueCount="31">
  <si>
    <t xml:space="preserve">Tableau Kanban</t>
  </si>
  <si>
    <t xml:space="preserve">Les cartes se mettent à jour depuis l'onglet « Tâches » (colonne Statut).</t>
  </si>
  <si>
    <t xml:space="preserve">À faire</t>
  </si>
  <si>
    <t xml:space="preserve">En cours</t>
  </si>
  <si>
    <t xml:space="preserve">En revue</t>
  </si>
  <si>
    <t xml:space="preserve">Terminé</t>
  </si>
  <si>
    <t xml:space="preserve">Légende : carte rouge pâle = priorité haute. Jusqu'à 15 cartes par colonne, 50 tâches au total.</t>
  </si>
  <si>
    <t xml:space="preserve">Liste des tâches</t>
  </si>
  <si>
    <t xml:space="preserve">Modifiez uniquement les cellules des colonnes B à F (fond jaune clair). Changez le Statut via la liste déroulante : la carte bouge toute seule sur l'onglet Kanban.</t>
  </si>
  <si>
    <t xml:space="preserve">N°</t>
  </si>
  <si>
    <t xml:space="preserve">Tâche</t>
  </si>
  <si>
    <t xml:space="preserve">Responsable</t>
  </si>
  <si>
    <t xml:space="preserve">Priorité</t>
  </si>
  <si>
    <t xml:space="preserve">Échéance</t>
  </si>
  <si>
    <t xml:space="preserve">Statut</t>
  </si>
  <si>
    <t xml:space="preserve">Clé (auto)</t>
  </si>
  <si>
    <t xml:space="preserve">Définir le périmètre du projet</t>
  </si>
  <si>
    <t xml:space="preserve">Alice</t>
  </si>
  <si>
    <t xml:space="preserve">Haute</t>
  </si>
  <si>
    <t xml:space="preserve">Réunion de lancement</t>
  </si>
  <si>
    <t xml:space="preserve">Karim</t>
  </si>
  <si>
    <t xml:space="preserve">Moyenne</t>
  </si>
  <si>
    <t xml:space="preserve">Maquettes de l'interface</t>
  </si>
  <si>
    <t xml:space="preserve">Sara</t>
  </si>
  <si>
    <t xml:space="preserve">Rédiger le cahier des charges</t>
  </si>
  <si>
    <t xml:space="preserve">Valider le budget</t>
  </si>
  <si>
    <t xml:space="preserve">Choisir les fournisseurs</t>
  </si>
  <si>
    <t xml:space="preserve">Yacine</t>
  </si>
  <si>
    <t xml:space="preserve">Basse</t>
  </si>
  <si>
    <t xml:space="preserve">Plan de communication</t>
  </si>
  <si>
    <t xml:space="preserve">Former l'équipe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</si>
</sst>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sz val="8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548235"/>
        <bgColor rgb="FF339966"/>
      </patternFill>
    </fill>
    <fill>
      <patternFill patternType="solid">
        <fgColor rgb="FFF2F2F2"/>
        <bgColor rgb="FFFFF9DB"/>
      </patternFill>
    </fill>
    <fill>
      <patternFill patternType="solid">
        <fgColor rgb="FF1F3864"/>
        <bgColor rgb="FF333333"/>
      </patternFill>
    </fill>
    <fill>
      <patternFill patternType="solid">
        <fgColor rgb="FFFFF9D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2E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FFFFFF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9DB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2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5" min="2" style="0" width="34"/>
  </cols>
  <sheetData>
    <row r="1" customFormat="false" ht="24.4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5.5" hidden="false" customHeight="true" outlineLevel="0" collapsed="false">
      <c r="B4" s="3" t="s">
        <v>2</v>
      </c>
      <c r="C4" s="4" t="s">
        <v>3</v>
      </c>
      <c r="D4" s="5" t="s">
        <v>4</v>
      </c>
      <c r="E4" s="6" t="s">
        <v>5</v>
      </c>
    </row>
    <row r="5" customFormat="false" ht="15" hidden="false" customHeight="false" outlineLevel="0" collapsed="false">
      <c r="B5" s="7" t="str">
        <f aca="false">COUNTIF(Tâches!$F$5:$F$54,B$4)&amp;" tâche(s)"</f>
        <v>3 tâche(s)</v>
      </c>
      <c r="C5" s="8" t="str">
        <f aca="false">COUNTIF(Tâches!$F$5:$F$54,C$4)&amp;" tâche(s)"</f>
        <v>2 tâche(s)</v>
      </c>
      <c r="D5" s="9" t="str">
        <f aca="false">COUNTIF(Tâches!$F$5:$F$54,D$4)&amp;" tâche(s)"</f>
        <v>1 tâche(s)</v>
      </c>
      <c r="E5" s="10" t="str">
        <f aca="false">COUNTIF(Tâches!$F$5:$F$54,E$4)&amp;" tâche(s)"</f>
        <v>2 tâche(s)</v>
      </c>
    </row>
    <row r="6" customFormat="false" ht="37.5" hidden="false" customHeight="true" outlineLevel="0" collapsed="false">
      <c r="A6" s="11" t="n">
        <v>1</v>
      </c>
      <c r="B6" s="12" t="str">
        <f aca="false">IFERROR(INDEX(Tâches!$B$5:$B$54,MATCH(B$4&amp;"|"&amp;$A6,Tâches!$G$5:$G$54,0))&amp;CHAR(10)&amp;INDEX(Tâches!$C$5:$C$54,MATCH(B$4&amp;"|"&amp;$A6,Tâches!$G$5:$G$54,0))&amp;"  |  Priorité : "&amp;INDEX(Tâches!$D$5:$D$54,MATCH(B$4&amp;"|"&amp;$A6,Tâches!$G$5:$G$54,0)),"")</f>
        <v>Choisir les fournisseurs
Yacine  |  Priorité : Basse</v>
      </c>
      <c r="C6" s="12" t="str">
        <f aca="false">IFERROR(INDEX(Tâches!$B$5:$B$54,MATCH(C$4&amp;"|"&amp;$A6,Tâches!$G$5:$G$54,0))&amp;CHAR(10)&amp;INDEX(Tâches!$C$5:$C$54,MATCH(C$4&amp;"|"&amp;$A6,Tâches!$G$5:$G$54,0))&amp;"  |  Priorité : "&amp;INDEX(Tâches!$D$5:$D$54,MATCH(C$4&amp;"|"&amp;$A6,Tâches!$G$5:$G$54,0)),"")</f>
        <v>Maquettes de l'interface
Sara  |  Priorité : Haute</v>
      </c>
      <c r="D6" s="12" t="str">
        <f aca="false">IFERROR(INDEX(Tâches!$B$5:$B$54,MATCH(D$4&amp;"|"&amp;$A6,Tâches!$G$5:$G$54,0))&amp;CHAR(10)&amp;INDEX(Tâches!$C$5:$C$54,MATCH(D$4&amp;"|"&amp;$A6,Tâches!$G$5:$G$54,0))&amp;"  |  Priorité : "&amp;INDEX(Tâches!$D$5:$D$54,MATCH(D$4&amp;"|"&amp;$A6,Tâches!$G$5:$G$54,0)),"")</f>
        <v>Valider le budget
Karim  |  Priorité : Moyenne</v>
      </c>
      <c r="E6" s="12" t="str">
        <f aca="false">IFERROR(INDEX(Tâches!$B$5:$B$54,MATCH(E$4&amp;"|"&amp;$A6,Tâches!$G$5:$G$54,0))&amp;CHAR(10)&amp;INDEX(Tâches!$C$5:$C$54,MATCH(E$4&amp;"|"&amp;$A6,Tâches!$G$5:$G$54,0))&amp;"  |  Priorité : "&amp;INDEX(Tâches!$D$5:$D$54,MATCH(E$4&amp;"|"&amp;$A6,Tâches!$G$5:$G$54,0)),"")</f>
        <v>Définir le périmètre du projet
Alice  |  Priorité : Haute</v>
      </c>
    </row>
    <row r="7" customFormat="false" ht="37.5" hidden="false" customHeight="true" outlineLevel="0" collapsed="false">
      <c r="A7" s="11" t="n">
        <v>2</v>
      </c>
      <c r="B7" s="12" t="str">
        <f aca="false">IFERROR(INDEX(Tâches!$B$5:$B$54,MATCH(B$4&amp;"|"&amp;$A7,Tâches!$G$5:$G$54,0))&amp;CHAR(10)&amp;INDEX(Tâches!$C$5:$C$54,MATCH(B$4&amp;"|"&amp;$A7,Tâches!$G$5:$G$54,0))&amp;"  |  Priorité : "&amp;INDEX(Tâches!$D$5:$D$54,MATCH(B$4&amp;"|"&amp;$A7,Tâches!$G$5:$G$54,0)),"")</f>
        <v>Plan de communication
Sara  |  Priorité : Moyenne</v>
      </c>
      <c r="C7" s="12" t="str">
        <f aca="false">IFERROR(INDEX(Tâches!$B$5:$B$54,MATCH(C$4&amp;"|"&amp;$A7,Tâches!$G$5:$G$54,0))&amp;CHAR(10)&amp;INDEX(Tâches!$C$5:$C$54,MATCH(C$4&amp;"|"&amp;$A7,Tâches!$G$5:$G$54,0))&amp;"  |  Priorité : "&amp;INDEX(Tâches!$D$5:$D$54,MATCH(C$4&amp;"|"&amp;$A7,Tâches!$G$5:$G$54,0)),"")</f>
        <v>Rédiger le cahier des charges
Alice  |  Priorité : Haute</v>
      </c>
      <c r="D7" s="12" t="str">
        <f aca="false">IFERROR(INDEX(Tâches!$B$5:$B$54,MATCH(D$4&amp;"|"&amp;$A7,Tâches!$G$5:$G$54,0))&amp;CHAR(10)&amp;INDEX(Tâches!$C$5:$C$54,MATCH(D$4&amp;"|"&amp;$A7,Tâches!$G$5:$G$54,0))&amp;"  |  Priorité : "&amp;INDEX(Tâches!$D$5:$D$54,MATCH(D$4&amp;"|"&amp;$A7,Tâches!$G$5:$G$54,0)),"")</f>
        <v/>
      </c>
      <c r="E7" s="12" t="str">
        <f aca="false">IFERROR(INDEX(Tâches!$B$5:$B$54,MATCH(E$4&amp;"|"&amp;$A7,Tâches!$G$5:$G$54,0))&amp;CHAR(10)&amp;INDEX(Tâches!$C$5:$C$54,MATCH(E$4&amp;"|"&amp;$A7,Tâches!$G$5:$G$54,0))&amp;"  |  Priorité : "&amp;INDEX(Tâches!$D$5:$D$54,MATCH(E$4&amp;"|"&amp;$A7,Tâches!$G$5:$G$54,0)),"")</f>
        <v>Réunion de lancement
Karim  |  Priorité : Moyenne</v>
      </c>
    </row>
    <row r="8" customFormat="false" ht="37.5" hidden="false" customHeight="true" outlineLevel="0" collapsed="false">
      <c r="A8" s="11" t="n">
        <v>3</v>
      </c>
      <c r="B8" s="12" t="str">
        <f aca="false">IFERROR(INDEX(Tâches!$B$5:$B$54,MATCH(B$4&amp;"|"&amp;$A8,Tâches!$G$5:$G$54,0))&amp;CHAR(10)&amp;INDEX(Tâches!$C$5:$C$54,MATCH(B$4&amp;"|"&amp;$A8,Tâches!$G$5:$G$54,0))&amp;"  |  Priorité : "&amp;INDEX(Tâches!$D$5:$D$54,MATCH(B$4&amp;"|"&amp;$A8,Tâches!$G$5:$G$54,0)),"")</f>
        <v>Former l'équipe
Yacine  |  Priorité : Basse</v>
      </c>
      <c r="C8" s="12" t="str">
        <f aca="false">IFERROR(INDEX(Tâches!$B$5:$B$54,MATCH(C$4&amp;"|"&amp;$A8,Tâches!$G$5:$G$54,0))&amp;CHAR(10)&amp;INDEX(Tâches!$C$5:$C$54,MATCH(C$4&amp;"|"&amp;$A8,Tâches!$G$5:$G$54,0))&amp;"  |  Priorité : "&amp;INDEX(Tâches!$D$5:$D$54,MATCH(C$4&amp;"|"&amp;$A8,Tâches!$G$5:$G$54,0)),"")</f>
        <v/>
      </c>
      <c r="D8" s="12" t="str">
        <f aca="false">IFERROR(INDEX(Tâches!$B$5:$B$54,MATCH(D$4&amp;"|"&amp;$A8,Tâches!$G$5:$G$54,0))&amp;CHAR(10)&amp;INDEX(Tâches!$C$5:$C$54,MATCH(D$4&amp;"|"&amp;$A8,Tâches!$G$5:$G$54,0))&amp;"  |  Priorité : "&amp;INDEX(Tâches!$D$5:$D$54,MATCH(D$4&amp;"|"&amp;$A8,Tâches!$G$5:$G$54,0)),"")</f>
        <v/>
      </c>
      <c r="E8" s="12" t="str">
        <f aca="false">IFERROR(INDEX(Tâches!$B$5:$B$54,MATCH(E$4&amp;"|"&amp;$A8,Tâches!$G$5:$G$54,0))&amp;CHAR(10)&amp;INDEX(Tâches!$C$5:$C$54,MATCH(E$4&amp;"|"&amp;$A8,Tâches!$G$5:$G$54,0))&amp;"  |  Priorité : "&amp;INDEX(Tâches!$D$5:$D$54,MATCH(E$4&amp;"|"&amp;$A8,Tâches!$G$5:$G$54,0)),"")</f>
        <v/>
      </c>
    </row>
    <row r="9" customFormat="false" ht="37.5" hidden="false" customHeight="true" outlineLevel="0" collapsed="false">
      <c r="A9" s="11" t="n">
        <v>4</v>
      </c>
      <c r="B9" s="12" t="str">
        <f aca="false">IFERROR(INDEX(Tâches!$B$5:$B$54,MATCH(B$4&amp;"|"&amp;$A9,Tâches!$G$5:$G$54,0))&amp;CHAR(10)&amp;INDEX(Tâches!$C$5:$C$54,MATCH(B$4&amp;"|"&amp;$A9,Tâches!$G$5:$G$54,0))&amp;"  |  Priorité : "&amp;INDEX(Tâches!$D$5:$D$54,MATCH(B$4&amp;"|"&amp;$A9,Tâches!$G$5:$G$54,0)),"")</f>
        <v/>
      </c>
      <c r="C9" s="12" t="str">
        <f aca="false">IFERROR(INDEX(Tâches!$B$5:$B$54,MATCH(C$4&amp;"|"&amp;$A9,Tâches!$G$5:$G$54,0))&amp;CHAR(10)&amp;INDEX(Tâches!$C$5:$C$54,MATCH(C$4&amp;"|"&amp;$A9,Tâches!$G$5:$G$54,0))&amp;"  |  Priorité : "&amp;INDEX(Tâches!$D$5:$D$54,MATCH(C$4&amp;"|"&amp;$A9,Tâches!$G$5:$G$54,0)),"")</f>
        <v/>
      </c>
      <c r="D9" s="12" t="str">
        <f aca="false">IFERROR(INDEX(Tâches!$B$5:$B$54,MATCH(D$4&amp;"|"&amp;$A9,Tâches!$G$5:$G$54,0))&amp;CHAR(10)&amp;INDEX(Tâches!$C$5:$C$54,MATCH(D$4&amp;"|"&amp;$A9,Tâches!$G$5:$G$54,0))&amp;"  |  Priorité : "&amp;INDEX(Tâches!$D$5:$D$54,MATCH(D$4&amp;"|"&amp;$A9,Tâches!$G$5:$G$54,0)),"")</f>
        <v/>
      </c>
      <c r="E9" s="12" t="str">
        <f aca="false">IFERROR(INDEX(Tâches!$B$5:$B$54,MATCH(E$4&amp;"|"&amp;$A9,Tâches!$G$5:$G$54,0))&amp;CHAR(10)&amp;INDEX(Tâches!$C$5:$C$54,MATCH(E$4&amp;"|"&amp;$A9,Tâches!$G$5:$G$54,0))&amp;"  |  Priorité : "&amp;INDEX(Tâches!$D$5:$D$54,MATCH(E$4&amp;"|"&amp;$A9,Tâches!$G$5:$G$54,0)),"")</f>
        <v/>
      </c>
    </row>
    <row r="10" customFormat="false" ht="37.5" hidden="false" customHeight="true" outlineLevel="0" collapsed="false">
      <c r="A10" s="11" t="n">
        <v>5</v>
      </c>
      <c r="B10" s="12" t="str">
        <f aca="false">IFERROR(INDEX(Tâches!$B$5:$B$54,MATCH(B$4&amp;"|"&amp;$A10,Tâches!$G$5:$G$54,0))&amp;CHAR(10)&amp;INDEX(Tâches!$C$5:$C$54,MATCH(B$4&amp;"|"&amp;$A10,Tâches!$G$5:$G$54,0))&amp;"  |  Priorité : "&amp;INDEX(Tâches!$D$5:$D$54,MATCH(B$4&amp;"|"&amp;$A10,Tâches!$G$5:$G$54,0)),"")</f>
        <v/>
      </c>
      <c r="C10" s="12" t="str">
        <f aca="false">IFERROR(INDEX(Tâches!$B$5:$B$54,MATCH(C$4&amp;"|"&amp;$A10,Tâches!$G$5:$G$54,0))&amp;CHAR(10)&amp;INDEX(Tâches!$C$5:$C$54,MATCH(C$4&amp;"|"&amp;$A10,Tâches!$G$5:$G$54,0))&amp;"  |  Priorité : "&amp;INDEX(Tâches!$D$5:$D$54,MATCH(C$4&amp;"|"&amp;$A10,Tâches!$G$5:$G$54,0)),"")</f>
        <v/>
      </c>
      <c r="D10" s="12" t="str">
        <f aca="false">IFERROR(INDEX(Tâches!$B$5:$B$54,MATCH(D$4&amp;"|"&amp;$A10,Tâches!$G$5:$G$54,0))&amp;CHAR(10)&amp;INDEX(Tâches!$C$5:$C$54,MATCH(D$4&amp;"|"&amp;$A10,Tâches!$G$5:$G$54,0))&amp;"  |  Priorité : "&amp;INDEX(Tâches!$D$5:$D$54,MATCH(D$4&amp;"|"&amp;$A10,Tâches!$G$5:$G$54,0)),"")</f>
        <v/>
      </c>
      <c r="E10" s="12" t="str">
        <f aca="false">IFERROR(INDEX(Tâches!$B$5:$B$54,MATCH(E$4&amp;"|"&amp;$A10,Tâches!$G$5:$G$54,0))&amp;CHAR(10)&amp;INDEX(Tâches!$C$5:$C$54,MATCH(E$4&amp;"|"&amp;$A10,Tâches!$G$5:$G$54,0))&amp;"  |  Priorité : "&amp;INDEX(Tâches!$D$5:$D$54,MATCH(E$4&amp;"|"&amp;$A10,Tâches!$G$5:$G$54,0)),"")</f>
        <v/>
      </c>
    </row>
    <row r="11" customFormat="false" ht="37.5" hidden="false" customHeight="true" outlineLevel="0" collapsed="false">
      <c r="A11" s="11" t="n">
        <v>6</v>
      </c>
      <c r="B11" s="12" t="str">
        <f aca="false">IFERROR(INDEX(Tâches!$B$5:$B$54,MATCH(B$4&amp;"|"&amp;$A11,Tâches!$G$5:$G$54,0))&amp;CHAR(10)&amp;INDEX(Tâches!$C$5:$C$54,MATCH(B$4&amp;"|"&amp;$A11,Tâches!$G$5:$G$54,0))&amp;"  |  Priorité : "&amp;INDEX(Tâches!$D$5:$D$54,MATCH(B$4&amp;"|"&amp;$A11,Tâches!$G$5:$G$54,0)),"")</f>
        <v/>
      </c>
      <c r="C11" s="12" t="str">
        <f aca="false">IFERROR(INDEX(Tâches!$B$5:$B$54,MATCH(C$4&amp;"|"&amp;$A11,Tâches!$G$5:$G$54,0))&amp;CHAR(10)&amp;INDEX(Tâches!$C$5:$C$54,MATCH(C$4&amp;"|"&amp;$A11,Tâches!$G$5:$G$54,0))&amp;"  |  Priorité : "&amp;INDEX(Tâches!$D$5:$D$54,MATCH(C$4&amp;"|"&amp;$A11,Tâches!$G$5:$G$54,0)),"")</f>
        <v/>
      </c>
      <c r="D11" s="12" t="str">
        <f aca="false">IFERROR(INDEX(Tâches!$B$5:$B$54,MATCH(D$4&amp;"|"&amp;$A11,Tâches!$G$5:$G$54,0))&amp;CHAR(10)&amp;INDEX(Tâches!$C$5:$C$54,MATCH(D$4&amp;"|"&amp;$A11,Tâches!$G$5:$G$54,0))&amp;"  |  Priorité : "&amp;INDEX(Tâches!$D$5:$D$54,MATCH(D$4&amp;"|"&amp;$A11,Tâches!$G$5:$G$54,0)),"")</f>
        <v/>
      </c>
      <c r="E11" s="12" t="str">
        <f aca="false">IFERROR(INDEX(Tâches!$B$5:$B$54,MATCH(E$4&amp;"|"&amp;$A11,Tâches!$G$5:$G$54,0))&amp;CHAR(10)&amp;INDEX(Tâches!$C$5:$C$54,MATCH(E$4&amp;"|"&amp;$A11,Tâches!$G$5:$G$54,0))&amp;"  |  Priorité : "&amp;INDEX(Tâches!$D$5:$D$54,MATCH(E$4&amp;"|"&amp;$A11,Tâches!$G$5:$G$54,0)),"")</f>
        <v/>
      </c>
    </row>
    <row r="12" customFormat="false" ht="37.5" hidden="false" customHeight="true" outlineLevel="0" collapsed="false">
      <c r="A12" s="11" t="n">
        <v>7</v>
      </c>
      <c r="B12" s="12" t="str">
        <f aca="false">IFERROR(INDEX(Tâches!$B$5:$B$54,MATCH(B$4&amp;"|"&amp;$A12,Tâches!$G$5:$G$54,0))&amp;CHAR(10)&amp;INDEX(Tâches!$C$5:$C$54,MATCH(B$4&amp;"|"&amp;$A12,Tâches!$G$5:$G$54,0))&amp;"  |  Priorité : "&amp;INDEX(Tâches!$D$5:$D$54,MATCH(B$4&amp;"|"&amp;$A12,Tâches!$G$5:$G$54,0)),"")</f>
        <v/>
      </c>
      <c r="C12" s="12" t="str">
        <f aca="false">IFERROR(INDEX(Tâches!$B$5:$B$54,MATCH(C$4&amp;"|"&amp;$A12,Tâches!$G$5:$G$54,0))&amp;CHAR(10)&amp;INDEX(Tâches!$C$5:$C$54,MATCH(C$4&amp;"|"&amp;$A12,Tâches!$G$5:$G$54,0))&amp;"  |  Priorité : "&amp;INDEX(Tâches!$D$5:$D$54,MATCH(C$4&amp;"|"&amp;$A12,Tâches!$G$5:$G$54,0)),"")</f>
        <v/>
      </c>
      <c r="D12" s="12" t="str">
        <f aca="false">IFERROR(INDEX(Tâches!$B$5:$B$54,MATCH(D$4&amp;"|"&amp;$A12,Tâches!$G$5:$G$54,0))&amp;CHAR(10)&amp;INDEX(Tâches!$C$5:$C$54,MATCH(D$4&amp;"|"&amp;$A12,Tâches!$G$5:$G$54,0))&amp;"  |  Priorité : "&amp;INDEX(Tâches!$D$5:$D$54,MATCH(D$4&amp;"|"&amp;$A12,Tâches!$G$5:$G$54,0)),"")</f>
        <v/>
      </c>
      <c r="E12" s="12" t="str">
        <f aca="false">IFERROR(INDEX(Tâches!$B$5:$B$54,MATCH(E$4&amp;"|"&amp;$A12,Tâches!$G$5:$G$54,0))&amp;CHAR(10)&amp;INDEX(Tâches!$C$5:$C$54,MATCH(E$4&amp;"|"&amp;$A12,Tâches!$G$5:$G$54,0))&amp;"  |  Priorité : "&amp;INDEX(Tâches!$D$5:$D$54,MATCH(E$4&amp;"|"&amp;$A12,Tâches!$G$5:$G$54,0)),"")</f>
        <v/>
      </c>
    </row>
    <row r="13" customFormat="false" ht="37.5" hidden="false" customHeight="true" outlineLevel="0" collapsed="false">
      <c r="A13" s="11" t="n">
        <v>8</v>
      </c>
      <c r="B13" s="12" t="str">
        <f aca="false">IFERROR(INDEX(Tâches!$B$5:$B$54,MATCH(B$4&amp;"|"&amp;$A13,Tâches!$G$5:$G$54,0))&amp;CHAR(10)&amp;INDEX(Tâches!$C$5:$C$54,MATCH(B$4&amp;"|"&amp;$A13,Tâches!$G$5:$G$54,0))&amp;"  |  Priorité : "&amp;INDEX(Tâches!$D$5:$D$54,MATCH(B$4&amp;"|"&amp;$A13,Tâches!$G$5:$G$54,0)),"")</f>
        <v/>
      </c>
      <c r="C13" s="12" t="str">
        <f aca="false">IFERROR(INDEX(Tâches!$B$5:$B$54,MATCH(C$4&amp;"|"&amp;$A13,Tâches!$G$5:$G$54,0))&amp;CHAR(10)&amp;INDEX(Tâches!$C$5:$C$54,MATCH(C$4&amp;"|"&amp;$A13,Tâches!$G$5:$G$54,0))&amp;"  |  Priorité : "&amp;INDEX(Tâches!$D$5:$D$54,MATCH(C$4&amp;"|"&amp;$A13,Tâches!$G$5:$G$54,0)),"")</f>
        <v/>
      </c>
      <c r="D13" s="12" t="str">
        <f aca="false">IFERROR(INDEX(Tâches!$B$5:$B$54,MATCH(D$4&amp;"|"&amp;$A13,Tâches!$G$5:$G$54,0))&amp;CHAR(10)&amp;INDEX(Tâches!$C$5:$C$54,MATCH(D$4&amp;"|"&amp;$A13,Tâches!$G$5:$G$54,0))&amp;"  |  Priorité : "&amp;INDEX(Tâches!$D$5:$D$54,MATCH(D$4&amp;"|"&amp;$A13,Tâches!$G$5:$G$54,0)),"")</f>
        <v/>
      </c>
      <c r="E13" s="12" t="str">
        <f aca="false">IFERROR(INDEX(Tâches!$B$5:$B$54,MATCH(E$4&amp;"|"&amp;$A13,Tâches!$G$5:$G$54,0))&amp;CHAR(10)&amp;INDEX(Tâches!$C$5:$C$54,MATCH(E$4&amp;"|"&amp;$A13,Tâches!$G$5:$G$54,0))&amp;"  |  Priorité : "&amp;INDEX(Tâches!$D$5:$D$54,MATCH(E$4&amp;"|"&amp;$A13,Tâches!$G$5:$G$54,0)),"")</f>
        <v/>
      </c>
    </row>
    <row r="14" customFormat="false" ht="37.5" hidden="false" customHeight="true" outlineLevel="0" collapsed="false">
      <c r="A14" s="11" t="n">
        <v>9</v>
      </c>
      <c r="B14" s="12" t="str">
        <f aca="false">IFERROR(INDEX(Tâches!$B$5:$B$54,MATCH(B$4&amp;"|"&amp;$A14,Tâches!$G$5:$G$54,0))&amp;CHAR(10)&amp;INDEX(Tâches!$C$5:$C$54,MATCH(B$4&amp;"|"&amp;$A14,Tâches!$G$5:$G$54,0))&amp;"  |  Priorité : "&amp;INDEX(Tâches!$D$5:$D$54,MATCH(B$4&amp;"|"&amp;$A14,Tâches!$G$5:$G$54,0)),"")</f>
        <v/>
      </c>
      <c r="C14" s="12" t="str">
        <f aca="false">IFERROR(INDEX(Tâches!$B$5:$B$54,MATCH(C$4&amp;"|"&amp;$A14,Tâches!$G$5:$G$54,0))&amp;CHAR(10)&amp;INDEX(Tâches!$C$5:$C$54,MATCH(C$4&amp;"|"&amp;$A14,Tâches!$G$5:$G$54,0))&amp;"  |  Priorité : "&amp;INDEX(Tâches!$D$5:$D$54,MATCH(C$4&amp;"|"&amp;$A14,Tâches!$G$5:$G$54,0)),"")</f>
        <v/>
      </c>
      <c r="D14" s="12" t="str">
        <f aca="false">IFERROR(INDEX(Tâches!$B$5:$B$54,MATCH(D$4&amp;"|"&amp;$A14,Tâches!$G$5:$G$54,0))&amp;CHAR(10)&amp;INDEX(Tâches!$C$5:$C$54,MATCH(D$4&amp;"|"&amp;$A14,Tâches!$G$5:$G$54,0))&amp;"  |  Priorité : "&amp;INDEX(Tâches!$D$5:$D$54,MATCH(D$4&amp;"|"&amp;$A14,Tâches!$G$5:$G$54,0)),"")</f>
        <v/>
      </c>
      <c r="E14" s="12" t="str">
        <f aca="false">IFERROR(INDEX(Tâches!$B$5:$B$54,MATCH(E$4&amp;"|"&amp;$A14,Tâches!$G$5:$G$54,0))&amp;CHAR(10)&amp;INDEX(Tâches!$C$5:$C$54,MATCH(E$4&amp;"|"&amp;$A14,Tâches!$G$5:$G$54,0))&amp;"  |  Priorité : "&amp;INDEX(Tâches!$D$5:$D$54,MATCH(E$4&amp;"|"&amp;$A14,Tâches!$G$5:$G$54,0)),"")</f>
        <v/>
      </c>
    </row>
    <row r="15" customFormat="false" ht="37.5" hidden="false" customHeight="true" outlineLevel="0" collapsed="false">
      <c r="A15" s="11" t="n">
        <v>10</v>
      </c>
      <c r="B15" s="12" t="str">
        <f aca="false">IFERROR(INDEX(Tâches!$B$5:$B$54,MATCH(B$4&amp;"|"&amp;$A15,Tâches!$G$5:$G$54,0))&amp;CHAR(10)&amp;INDEX(Tâches!$C$5:$C$54,MATCH(B$4&amp;"|"&amp;$A15,Tâches!$G$5:$G$54,0))&amp;"  |  Priorité : "&amp;INDEX(Tâches!$D$5:$D$54,MATCH(B$4&amp;"|"&amp;$A15,Tâches!$G$5:$G$54,0)),"")</f>
        <v/>
      </c>
      <c r="C15" s="12" t="str">
        <f aca="false">IFERROR(INDEX(Tâches!$B$5:$B$54,MATCH(C$4&amp;"|"&amp;$A15,Tâches!$G$5:$G$54,0))&amp;CHAR(10)&amp;INDEX(Tâches!$C$5:$C$54,MATCH(C$4&amp;"|"&amp;$A15,Tâches!$G$5:$G$54,0))&amp;"  |  Priorité : "&amp;INDEX(Tâches!$D$5:$D$54,MATCH(C$4&amp;"|"&amp;$A15,Tâches!$G$5:$G$54,0)),"")</f>
        <v/>
      </c>
      <c r="D15" s="12" t="str">
        <f aca="false">IFERROR(INDEX(Tâches!$B$5:$B$54,MATCH(D$4&amp;"|"&amp;$A15,Tâches!$G$5:$G$54,0))&amp;CHAR(10)&amp;INDEX(Tâches!$C$5:$C$54,MATCH(D$4&amp;"|"&amp;$A15,Tâches!$G$5:$G$54,0))&amp;"  |  Priorité : "&amp;INDEX(Tâches!$D$5:$D$54,MATCH(D$4&amp;"|"&amp;$A15,Tâches!$G$5:$G$54,0)),"")</f>
        <v/>
      </c>
      <c r="E15" s="12" t="str">
        <f aca="false">IFERROR(INDEX(Tâches!$B$5:$B$54,MATCH(E$4&amp;"|"&amp;$A15,Tâches!$G$5:$G$54,0))&amp;CHAR(10)&amp;INDEX(Tâches!$C$5:$C$54,MATCH(E$4&amp;"|"&amp;$A15,Tâches!$G$5:$G$54,0))&amp;"  |  Priorité : "&amp;INDEX(Tâches!$D$5:$D$54,MATCH(E$4&amp;"|"&amp;$A15,Tâches!$G$5:$G$54,0)),"")</f>
        <v/>
      </c>
    </row>
    <row r="16" customFormat="false" ht="37.5" hidden="false" customHeight="true" outlineLevel="0" collapsed="false">
      <c r="A16" s="11" t="n">
        <v>11</v>
      </c>
      <c r="B16" s="12" t="str">
        <f aca="false">IFERROR(INDEX(Tâches!$B$5:$B$54,MATCH(B$4&amp;"|"&amp;$A16,Tâches!$G$5:$G$54,0))&amp;CHAR(10)&amp;INDEX(Tâches!$C$5:$C$54,MATCH(B$4&amp;"|"&amp;$A16,Tâches!$G$5:$G$54,0))&amp;"  |  Priorité : "&amp;INDEX(Tâches!$D$5:$D$54,MATCH(B$4&amp;"|"&amp;$A16,Tâches!$G$5:$G$54,0)),"")</f>
        <v/>
      </c>
      <c r="C16" s="12" t="str">
        <f aca="false">IFERROR(INDEX(Tâches!$B$5:$B$54,MATCH(C$4&amp;"|"&amp;$A16,Tâches!$G$5:$G$54,0))&amp;CHAR(10)&amp;INDEX(Tâches!$C$5:$C$54,MATCH(C$4&amp;"|"&amp;$A16,Tâches!$G$5:$G$54,0))&amp;"  |  Priorité : "&amp;INDEX(Tâches!$D$5:$D$54,MATCH(C$4&amp;"|"&amp;$A16,Tâches!$G$5:$G$54,0)),"")</f>
        <v/>
      </c>
      <c r="D16" s="12" t="str">
        <f aca="false">IFERROR(INDEX(Tâches!$B$5:$B$54,MATCH(D$4&amp;"|"&amp;$A16,Tâches!$G$5:$G$54,0))&amp;CHAR(10)&amp;INDEX(Tâches!$C$5:$C$54,MATCH(D$4&amp;"|"&amp;$A16,Tâches!$G$5:$G$54,0))&amp;"  |  Priorité : "&amp;INDEX(Tâches!$D$5:$D$54,MATCH(D$4&amp;"|"&amp;$A16,Tâches!$G$5:$G$54,0)),"")</f>
        <v/>
      </c>
      <c r="E16" s="12" t="str">
        <f aca="false">IFERROR(INDEX(Tâches!$B$5:$B$54,MATCH(E$4&amp;"|"&amp;$A16,Tâches!$G$5:$G$54,0))&amp;CHAR(10)&amp;INDEX(Tâches!$C$5:$C$54,MATCH(E$4&amp;"|"&amp;$A16,Tâches!$G$5:$G$54,0))&amp;"  |  Priorité : "&amp;INDEX(Tâches!$D$5:$D$54,MATCH(E$4&amp;"|"&amp;$A16,Tâches!$G$5:$G$54,0)),"")</f>
        <v/>
      </c>
    </row>
    <row r="17" customFormat="false" ht="37.5" hidden="false" customHeight="true" outlineLevel="0" collapsed="false">
      <c r="A17" s="11" t="n">
        <v>12</v>
      </c>
      <c r="B17" s="12" t="str">
        <f aca="false">IFERROR(INDEX(Tâches!$B$5:$B$54,MATCH(B$4&amp;"|"&amp;$A17,Tâches!$G$5:$G$54,0))&amp;CHAR(10)&amp;INDEX(Tâches!$C$5:$C$54,MATCH(B$4&amp;"|"&amp;$A17,Tâches!$G$5:$G$54,0))&amp;"  |  Priorité : "&amp;INDEX(Tâches!$D$5:$D$54,MATCH(B$4&amp;"|"&amp;$A17,Tâches!$G$5:$G$54,0)),"")</f>
        <v/>
      </c>
      <c r="C17" s="12" t="str">
        <f aca="false">IFERROR(INDEX(Tâches!$B$5:$B$54,MATCH(C$4&amp;"|"&amp;$A17,Tâches!$G$5:$G$54,0))&amp;CHAR(10)&amp;INDEX(Tâches!$C$5:$C$54,MATCH(C$4&amp;"|"&amp;$A17,Tâches!$G$5:$G$54,0))&amp;"  |  Priorité : "&amp;INDEX(Tâches!$D$5:$D$54,MATCH(C$4&amp;"|"&amp;$A17,Tâches!$G$5:$G$54,0)),"")</f>
        <v/>
      </c>
      <c r="D17" s="12" t="str">
        <f aca="false">IFERROR(INDEX(Tâches!$B$5:$B$54,MATCH(D$4&amp;"|"&amp;$A17,Tâches!$G$5:$G$54,0))&amp;CHAR(10)&amp;INDEX(Tâches!$C$5:$C$54,MATCH(D$4&amp;"|"&amp;$A17,Tâches!$G$5:$G$54,0))&amp;"  |  Priorité : "&amp;INDEX(Tâches!$D$5:$D$54,MATCH(D$4&amp;"|"&amp;$A17,Tâches!$G$5:$G$54,0)),"")</f>
        <v/>
      </c>
      <c r="E17" s="12" t="str">
        <f aca="false">IFERROR(INDEX(Tâches!$B$5:$B$54,MATCH(E$4&amp;"|"&amp;$A17,Tâches!$G$5:$G$54,0))&amp;CHAR(10)&amp;INDEX(Tâches!$C$5:$C$54,MATCH(E$4&amp;"|"&amp;$A17,Tâches!$G$5:$G$54,0))&amp;"  |  Priorité : "&amp;INDEX(Tâches!$D$5:$D$54,MATCH(E$4&amp;"|"&amp;$A17,Tâches!$G$5:$G$54,0)),"")</f>
        <v/>
      </c>
    </row>
    <row r="18" customFormat="false" ht="37.5" hidden="false" customHeight="true" outlineLevel="0" collapsed="false">
      <c r="A18" s="11" t="n">
        <v>13</v>
      </c>
      <c r="B18" s="12" t="str">
        <f aca="false">IFERROR(INDEX(Tâches!$B$5:$B$54,MATCH(B$4&amp;"|"&amp;$A18,Tâches!$G$5:$G$54,0))&amp;CHAR(10)&amp;INDEX(Tâches!$C$5:$C$54,MATCH(B$4&amp;"|"&amp;$A18,Tâches!$G$5:$G$54,0))&amp;"  |  Priorité : "&amp;INDEX(Tâches!$D$5:$D$54,MATCH(B$4&amp;"|"&amp;$A18,Tâches!$G$5:$G$54,0)),"")</f>
        <v/>
      </c>
      <c r="C18" s="12" t="str">
        <f aca="false">IFERROR(INDEX(Tâches!$B$5:$B$54,MATCH(C$4&amp;"|"&amp;$A18,Tâches!$G$5:$G$54,0))&amp;CHAR(10)&amp;INDEX(Tâches!$C$5:$C$54,MATCH(C$4&amp;"|"&amp;$A18,Tâches!$G$5:$G$54,0))&amp;"  |  Priorité : "&amp;INDEX(Tâches!$D$5:$D$54,MATCH(C$4&amp;"|"&amp;$A18,Tâches!$G$5:$G$54,0)),"")</f>
        <v/>
      </c>
      <c r="D18" s="12" t="str">
        <f aca="false">IFERROR(INDEX(Tâches!$B$5:$B$54,MATCH(D$4&amp;"|"&amp;$A18,Tâches!$G$5:$G$54,0))&amp;CHAR(10)&amp;INDEX(Tâches!$C$5:$C$54,MATCH(D$4&amp;"|"&amp;$A18,Tâches!$G$5:$G$54,0))&amp;"  |  Priorité : "&amp;INDEX(Tâches!$D$5:$D$54,MATCH(D$4&amp;"|"&amp;$A18,Tâches!$G$5:$G$54,0)),"")</f>
        <v/>
      </c>
      <c r="E18" s="12" t="str">
        <f aca="false">IFERROR(INDEX(Tâches!$B$5:$B$54,MATCH(E$4&amp;"|"&amp;$A18,Tâches!$G$5:$G$54,0))&amp;CHAR(10)&amp;INDEX(Tâches!$C$5:$C$54,MATCH(E$4&amp;"|"&amp;$A18,Tâches!$G$5:$G$54,0))&amp;"  |  Priorité : "&amp;INDEX(Tâches!$D$5:$D$54,MATCH(E$4&amp;"|"&amp;$A18,Tâches!$G$5:$G$54,0)),"")</f>
        <v/>
      </c>
    </row>
    <row r="19" customFormat="false" ht="37.5" hidden="false" customHeight="true" outlineLevel="0" collapsed="false">
      <c r="A19" s="11" t="n">
        <v>14</v>
      </c>
      <c r="B19" s="12" t="str">
        <f aca="false">IFERROR(INDEX(Tâches!$B$5:$B$54,MATCH(B$4&amp;"|"&amp;$A19,Tâches!$G$5:$G$54,0))&amp;CHAR(10)&amp;INDEX(Tâches!$C$5:$C$54,MATCH(B$4&amp;"|"&amp;$A19,Tâches!$G$5:$G$54,0))&amp;"  |  Priorité : "&amp;INDEX(Tâches!$D$5:$D$54,MATCH(B$4&amp;"|"&amp;$A19,Tâches!$G$5:$G$54,0)),"")</f>
        <v/>
      </c>
      <c r="C19" s="12" t="str">
        <f aca="false">IFERROR(INDEX(Tâches!$B$5:$B$54,MATCH(C$4&amp;"|"&amp;$A19,Tâches!$G$5:$G$54,0))&amp;CHAR(10)&amp;INDEX(Tâches!$C$5:$C$54,MATCH(C$4&amp;"|"&amp;$A19,Tâches!$G$5:$G$54,0))&amp;"  |  Priorité : "&amp;INDEX(Tâches!$D$5:$D$54,MATCH(C$4&amp;"|"&amp;$A19,Tâches!$G$5:$G$54,0)),"")</f>
        <v/>
      </c>
      <c r="D19" s="12" t="str">
        <f aca="false">IFERROR(INDEX(Tâches!$B$5:$B$54,MATCH(D$4&amp;"|"&amp;$A19,Tâches!$G$5:$G$54,0))&amp;CHAR(10)&amp;INDEX(Tâches!$C$5:$C$54,MATCH(D$4&amp;"|"&amp;$A19,Tâches!$G$5:$G$54,0))&amp;"  |  Priorité : "&amp;INDEX(Tâches!$D$5:$D$54,MATCH(D$4&amp;"|"&amp;$A19,Tâches!$G$5:$G$54,0)),"")</f>
        <v/>
      </c>
      <c r="E19" s="12" t="str">
        <f aca="false">IFERROR(INDEX(Tâches!$B$5:$B$54,MATCH(E$4&amp;"|"&amp;$A19,Tâches!$G$5:$G$54,0))&amp;CHAR(10)&amp;INDEX(Tâches!$C$5:$C$54,MATCH(E$4&amp;"|"&amp;$A19,Tâches!$G$5:$G$54,0))&amp;"  |  Priorité : "&amp;INDEX(Tâches!$D$5:$D$54,MATCH(E$4&amp;"|"&amp;$A19,Tâches!$G$5:$G$54,0)),"")</f>
        <v/>
      </c>
    </row>
    <row r="20" customFormat="false" ht="37.5" hidden="false" customHeight="true" outlineLevel="0" collapsed="false">
      <c r="A20" s="11" t="n">
        <v>15</v>
      </c>
      <c r="B20" s="12" t="str">
        <f aca="false">IFERROR(INDEX(Tâches!$B$5:$B$54,MATCH(B$4&amp;"|"&amp;$A20,Tâches!$G$5:$G$54,0))&amp;CHAR(10)&amp;INDEX(Tâches!$C$5:$C$54,MATCH(B$4&amp;"|"&amp;$A20,Tâches!$G$5:$G$54,0))&amp;"  |  Priorité : "&amp;INDEX(Tâches!$D$5:$D$54,MATCH(B$4&amp;"|"&amp;$A20,Tâches!$G$5:$G$54,0)),"")</f>
        <v/>
      </c>
      <c r="C20" s="12" t="str">
        <f aca="false">IFERROR(INDEX(Tâches!$B$5:$B$54,MATCH(C$4&amp;"|"&amp;$A20,Tâches!$G$5:$G$54,0))&amp;CHAR(10)&amp;INDEX(Tâches!$C$5:$C$54,MATCH(C$4&amp;"|"&amp;$A20,Tâches!$G$5:$G$54,0))&amp;"  |  Priorité : "&amp;INDEX(Tâches!$D$5:$D$54,MATCH(C$4&amp;"|"&amp;$A20,Tâches!$G$5:$G$54,0)),"")</f>
        <v/>
      </c>
      <c r="D20" s="12" t="str">
        <f aca="false">IFERROR(INDEX(Tâches!$B$5:$B$54,MATCH(D$4&amp;"|"&amp;$A20,Tâches!$G$5:$G$54,0))&amp;CHAR(10)&amp;INDEX(Tâches!$C$5:$C$54,MATCH(D$4&amp;"|"&amp;$A20,Tâches!$G$5:$G$54,0))&amp;"  |  Priorité : "&amp;INDEX(Tâches!$D$5:$D$54,MATCH(D$4&amp;"|"&amp;$A20,Tâches!$G$5:$G$54,0)),"")</f>
        <v/>
      </c>
      <c r="E20" s="12" t="str">
        <f aca="false">IFERROR(INDEX(Tâches!$B$5:$B$54,MATCH(E$4&amp;"|"&amp;$A20,Tâches!$G$5:$G$54,0))&amp;CHAR(10)&amp;INDEX(Tâches!$C$5:$C$54,MATCH(E$4&amp;"|"&amp;$A20,Tâches!$G$5:$G$54,0))&amp;"  |  Priorité : "&amp;INDEX(Tâches!$D$5:$D$54,MATCH(E$4&amp;"|"&amp;$A20,Tâches!$G$5:$G$54,0)),"")</f>
        <v/>
      </c>
    </row>
    <row r="22" customFormat="false" ht="15" hidden="false" customHeight="false" outlineLevel="0" collapsed="false">
      <c r="B22" s="13" t="s">
        <v>6</v>
      </c>
    </row>
  </sheetData>
  <conditionalFormatting sqref="B6:E20">
    <cfRule type="expression" priority="2" aboveAverage="0" equalAverage="0" bottom="0" percent="0" rank="0" text="" dxfId="0">
      <formula>ISNUMBER(SEARCH("Priorité : Haute",B6))</formula>
    </cfRule>
    <cfRule type="expression" priority="3" aboveAverage="0" equalAverage="0" bottom="0" percent="0" rank="0" text="" dxfId="1">
      <formula>LEN(B6)&gt;0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4"/>
  </cols>
  <sheetData>
    <row r="1" customFormat="false" ht="19.7" hidden="false" customHeight="false" outlineLevel="0" collapsed="false">
      <c r="A1" s="14" t="s">
        <v>7</v>
      </c>
    </row>
    <row r="2" customFormat="false" ht="15" hidden="false" customHeight="false" outlineLevel="0" collapsed="false">
      <c r="A2" s="2" t="s">
        <v>8</v>
      </c>
    </row>
    <row r="4" customFormat="false" ht="15" hidden="false" customHeight="false" outlineLevel="0" collapsed="false">
      <c r="A4" s="15" t="s">
        <v>9</v>
      </c>
      <c r="B4" s="15" t="s">
        <v>10</v>
      </c>
      <c r="C4" s="15" t="s">
        <v>11</v>
      </c>
      <c r="D4" s="15" t="s">
        <v>12</v>
      </c>
      <c r="E4" s="15" t="s">
        <v>13</v>
      </c>
      <c r="F4" s="15" t="s">
        <v>14</v>
      </c>
      <c r="G4" s="15" t="s">
        <v>15</v>
      </c>
    </row>
    <row r="5" customFormat="false" ht="15" hidden="false" customHeight="false" outlineLevel="0" collapsed="false">
      <c r="A5" s="16" t="n">
        <v>1</v>
      </c>
      <c r="B5" s="17" t="s">
        <v>16</v>
      </c>
      <c r="C5" s="17" t="s">
        <v>17</v>
      </c>
      <c r="D5" s="17" t="s">
        <v>18</v>
      </c>
      <c r="E5" s="18" t="n">
        <v>46313</v>
      </c>
      <c r="F5" s="17" t="s">
        <v>5</v>
      </c>
      <c r="G5" s="19" t="str">
        <f aca="false">IF(F5="","",F5&amp;"|"&amp;COUNTIF($F$5:F5,F5))</f>
        <v>Terminé|1</v>
      </c>
    </row>
    <row r="6" customFormat="false" ht="15" hidden="false" customHeight="false" outlineLevel="0" collapsed="false">
      <c r="A6" s="16" t="n">
        <v>2</v>
      </c>
      <c r="B6" s="17" t="s">
        <v>19</v>
      </c>
      <c r="C6" s="17" t="s">
        <v>20</v>
      </c>
      <c r="D6" s="17" t="s">
        <v>21</v>
      </c>
      <c r="E6" s="18" t="n">
        <v>46311</v>
      </c>
      <c r="F6" s="17" t="s">
        <v>5</v>
      </c>
      <c r="G6" s="19" t="str">
        <f aca="false">IF(F6="","",F6&amp;"|"&amp;COUNTIF($F$5:F6,F6))</f>
        <v>Terminé|2</v>
      </c>
    </row>
    <row r="7" customFormat="false" ht="15" hidden="false" customHeight="false" outlineLevel="0" collapsed="false">
      <c r="A7" s="16" t="n">
        <v>3</v>
      </c>
      <c r="B7" s="17" t="s">
        <v>22</v>
      </c>
      <c r="C7" s="17" t="s">
        <v>23</v>
      </c>
      <c r="D7" s="17" t="s">
        <v>18</v>
      </c>
      <c r="E7" s="18" t="n">
        <v>46318</v>
      </c>
      <c r="F7" s="17" t="s">
        <v>3</v>
      </c>
      <c r="G7" s="19" t="str">
        <f aca="false">IF(F7="","",F7&amp;"|"&amp;COUNTIF($F$5:F7,F7))</f>
        <v>En cours|1</v>
      </c>
    </row>
    <row r="8" customFormat="false" ht="15" hidden="false" customHeight="false" outlineLevel="0" collapsed="false">
      <c r="A8" s="16" t="n">
        <v>4</v>
      </c>
      <c r="B8" s="17" t="s">
        <v>24</v>
      </c>
      <c r="C8" s="17" t="s">
        <v>17</v>
      </c>
      <c r="D8" s="17" t="s">
        <v>18</v>
      </c>
      <c r="E8" s="18" t="n">
        <v>46320</v>
      </c>
      <c r="F8" s="17" t="s">
        <v>3</v>
      </c>
      <c r="G8" s="19" t="str">
        <f aca="false">IF(F8="","",F8&amp;"|"&amp;COUNTIF($F$5:F8,F8))</f>
        <v>En cours|2</v>
      </c>
    </row>
    <row r="9" customFormat="false" ht="15" hidden="false" customHeight="false" outlineLevel="0" collapsed="false">
      <c r="A9" s="16" t="n">
        <v>5</v>
      </c>
      <c r="B9" s="17" t="s">
        <v>25</v>
      </c>
      <c r="C9" s="17" t="s">
        <v>20</v>
      </c>
      <c r="D9" s="17" t="s">
        <v>21</v>
      </c>
      <c r="E9" s="18" t="n">
        <v>46322</v>
      </c>
      <c r="F9" s="17" t="s">
        <v>4</v>
      </c>
      <c r="G9" s="19" t="str">
        <f aca="false">IF(F9="","",F9&amp;"|"&amp;COUNTIF($F$5:F9,F9))</f>
        <v>En revue|1</v>
      </c>
    </row>
    <row r="10" customFormat="false" ht="15" hidden="false" customHeight="false" outlineLevel="0" collapsed="false">
      <c r="A10" s="16" t="n">
        <v>6</v>
      </c>
      <c r="B10" s="17" t="s">
        <v>26</v>
      </c>
      <c r="C10" s="17" t="s">
        <v>27</v>
      </c>
      <c r="D10" s="17" t="s">
        <v>28</v>
      </c>
      <c r="E10" s="18" t="n">
        <v>46328</v>
      </c>
      <c r="F10" s="17" t="s">
        <v>2</v>
      </c>
      <c r="G10" s="19" t="str">
        <f aca="false">IF(F10="","",F10&amp;"|"&amp;COUNTIF($F$5:F10,F10))</f>
        <v>À faire|1</v>
      </c>
    </row>
    <row r="11" customFormat="false" ht="15" hidden="false" customHeight="false" outlineLevel="0" collapsed="false">
      <c r="A11" s="16" t="n">
        <v>7</v>
      </c>
      <c r="B11" s="17" t="s">
        <v>29</v>
      </c>
      <c r="C11" s="17" t="s">
        <v>23</v>
      </c>
      <c r="D11" s="17" t="s">
        <v>21</v>
      </c>
      <c r="E11" s="18" t="n">
        <v>46333</v>
      </c>
      <c r="F11" s="17" t="s">
        <v>2</v>
      </c>
      <c r="G11" s="19" t="str">
        <f aca="false">IF(F11="","",F11&amp;"|"&amp;COUNTIF($F$5:F11,F11))</f>
        <v>À faire|2</v>
      </c>
    </row>
    <row r="12" customFormat="false" ht="15" hidden="false" customHeight="false" outlineLevel="0" collapsed="false">
      <c r="A12" s="16" t="n">
        <v>8</v>
      </c>
      <c r="B12" s="17" t="s">
        <v>30</v>
      </c>
      <c r="C12" s="17" t="s">
        <v>27</v>
      </c>
      <c r="D12" s="17" t="s">
        <v>28</v>
      </c>
      <c r="E12" s="18" t="n">
        <v>46338</v>
      </c>
      <c r="F12" s="17" t="s">
        <v>2</v>
      </c>
      <c r="G12" s="19" t="str">
        <f aca="false">IF(F12="","",F12&amp;"|"&amp;COUNTIF($F$5:F12,F12))</f>
        <v>À faire|3</v>
      </c>
    </row>
    <row r="13" customFormat="false" ht="15" hidden="false" customHeight="false" outlineLevel="0" collapsed="false">
      <c r="A13" s="16" t="n">
        <v>9</v>
      </c>
      <c r="B13" s="17"/>
      <c r="C13" s="17"/>
      <c r="D13" s="17"/>
      <c r="E13" s="18"/>
      <c r="F13" s="17"/>
      <c r="G13" s="19" t="str">
        <f aca="false">IF(F13="","",F13&amp;"|"&amp;COUNTIF($F$5:F13,F13))</f>
        <v/>
      </c>
    </row>
    <row r="14" customFormat="false" ht="15" hidden="false" customHeight="false" outlineLevel="0" collapsed="false">
      <c r="A14" s="16" t="n">
        <v>10</v>
      </c>
      <c r="B14" s="17"/>
      <c r="C14" s="17"/>
      <c r="D14" s="17"/>
      <c r="E14" s="18"/>
      <c r="F14" s="17"/>
      <c r="G14" s="19" t="str">
        <f aca="false">IF(F14="","",F14&amp;"|"&amp;COUNTIF($F$5:F14,F14))</f>
        <v/>
      </c>
    </row>
    <row r="15" customFormat="false" ht="15" hidden="false" customHeight="false" outlineLevel="0" collapsed="false">
      <c r="A15" s="16" t="n">
        <v>11</v>
      </c>
      <c r="B15" s="17"/>
      <c r="C15" s="17"/>
      <c r="D15" s="17"/>
      <c r="E15" s="18"/>
      <c r="F15" s="17"/>
      <c r="G15" s="19" t="str">
        <f aca="false">IF(F15="","",F15&amp;"|"&amp;COUNTIF($F$5:F15,F15))</f>
        <v/>
      </c>
    </row>
    <row r="16" customFormat="false" ht="15" hidden="false" customHeight="false" outlineLevel="0" collapsed="false">
      <c r="A16" s="16" t="n">
        <v>12</v>
      </c>
      <c r="B16" s="17"/>
      <c r="C16" s="17"/>
      <c r="D16" s="17"/>
      <c r="E16" s="18"/>
      <c r="F16" s="17"/>
      <c r="G16" s="19" t="str">
        <f aca="false">IF(F16="","",F16&amp;"|"&amp;COUNTIF($F$5:F16,F16))</f>
        <v/>
      </c>
    </row>
    <row r="17" customFormat="false" ht="15" hidden="false" customHeight="false" outlineLevel="0" collapsed="false">
      <c r="A17" s="16" t="n">
        <v>13</v>
      </c>
      <c r="B17" s="17"/>
      <c r="C17" s="17"/>
      <c r="D17" s="17"/>
      <c r="E17" s="18"/>
      <c r="F17" s="17"/>
      <c r="G17" s="19" t="str">
        <f aca="false">IF(F17="","",F17&amp;"|"&amp;COUNTIF($F$5:F17,F17))</f>
        <v/>
      </c>
    </row>
    <row r="18" customFormat="false" ht="15" hidden="false" customHeight="false" outlineLevel="0" collapsed="false">
      <c r="A18" s="16" t="n">
        <v>14</v>
      </c>
      <c r="B18" s="17"/>
      <c r="C18" s="17"/>
      <c r="D18" s="17"/>
      <c r="E18" s="18"/>
      <c r="F18" s="17"/>
      <c r="G18" s="19" t="str">
        <f aca="false">IF(F18="","",F18&amp;"|"&amp;COUNTIF($F$5:F18,F18))</f>
        <v/>
      </c>
    </row>
    <row r="19" customFormat="false" ht="15" hidden="false" customHeight="false" outlineLevel="0" collapsed="false">
      <c r="A19" s="16" t="n">
        <v>15</v>
      </c>
      <c r="B19" s="17"/>
      <c r="C19" s="17"/>
      <c r="D19" s="17"/>
      <c r="E19" s="18"/>
      <c r="F19" s="17"/>
      <c r="G19" s="19" t="str">
        <f aca="false">IF(F19="","",F19&amp;"|"&amp;COUNTIF($F$5:F19,F19))</f>
        <v/>
      </c>
    </row>
    <row r="20" customFormat="false" ht="15" hidden="false" customHeight="false" outlineLevel="0" collapsed="false">
      <c r="A20" s="16" t="n">
        <v>16</v>
      </c>
      <c r="B20" s="17"/>
      <c r="C20" s="17"/>
      <c r="D20" s="17"/>
      <c r="E20" s="18"/>
      <c r="F20" s="17"/>
      <c r="G20" s="19" t="str">
        <f aca="false">IF(F20="","",F20&amp;"|"&amp;COUNTIF($F$5:F20,F20))</f>
        <v/>
      </c>
    </row>
    <row r="21" customFormat="false" ht="15" hidden="false" customHeight="false" outlineLevel="0" collapsed="false">
      <c r="A21" s="16" t="n">
        <v>17</v>
      </c>
      <c r="B21" s="17"/>
      <c r="C21" s="17"/>
      <c r="D21" s="17"/>
      <c r="E21" s="18"/>
      <c r="F21" s="17"/>
      <c r="G21" s="19" t="str">
        <f aca="false">IF(F21="","",F21&amp;"|"&amp;COUNTIF($F$5:F21,F21))</f>
        <v/>
      </c>
    </row>
    <row r="22" customFormat="false" ht="15" hidden="false" customHeight="false" outlineLevel="0" collapsed="false">
      <c r="A22" s="16" t="n">
        <v>18</v>
      </c>
      <c r="B22" s="17"/>
      <c r="C22" s="17"/>
      <c r="D22" s="17"/>
      <c r="E22" s="18"/>
      <c r="F22" s="17"/>
      <c r="G22" s="19" t="str">
        <f aca="false">IF(F22="","",F22&amp;"|"&amp;COUNTIF($F$5:F22,F22))</f>
        <v/>
      </c>
    </row>
    <row r="23" customFormat="false" ht="15" hidden="false" customHeight="false" outlineLevel="0" collapsed="false">
      <c r="A23" s="16" t="n">
        <v>19</v>
      </c>
      <c r="B23" s="17"/>
      <c r="C23" s="17"/>
      <c r="D23" s="17"/>
      <c r="E23" s="18"/>
      <c r="F23" s="17"/>
      <c r="G23" s="19" t="str">
        <f aca="false">IF(F23="","",F23&amp;"|"&amp;COUNTIF($F$5:F23,F23))</f>
        <v/>
      </c>
    </row>
    <row r="24" customFormat="false" ht="15" hidden="false" customHeight="false" outlineLevel="0" collapsed="false">
      <c r="A24" s="16" t="n">
        <v>20</v>
      </c>
      <c r="B24" s="17"/>
      <c r="C24" s="17"/>
      <c r="D24" s="17"/>
      <c r="E24" s="18"/>
      <c r="F24" s="17"/>
      <c r="G24" s="19" t="str">
        <f aca="false">IF(F24="","",F24&amp;"|"&amp;COUNTIF($F$5:F24,F24))</f>
        <v/>
      </c>
    </row>
    <row r="25" customFormat="false" ht="15" hidden="false" customHeight="false" outlineLevel="0" collapsed="false">
      <c r="A25" s="16" t="n">
        <v>21</v>
      </c>
      <c r="B25" s="17"/>
      <c r="C25" s="17"/>
      <c r="D25" s="17"/>
      <c r="E25" s="18"/>
      <c r="F25" s="17"/>
      <c r="G25" s="19" t="str">
        <f aca="false">IF(F25="","",F25&amp;"|"&amp;COUNTIF($F$5:F25,F25))</f>
        <v/>
      </c>
    </row>
    <row r="26" customFormat="false" ht="15" hidden="false" customHeight="false" outlineLevel="0" collapsed="false">
      <c r="A26" s="16" t="n">
        <v>22</v>
      </c>
      <c r="B26" s="17"/>
      <c r="C26" s="17"/>
      <c r="D26" s="17"/>
      <c r="E26" s="18"/>
      <c r="F26" s="17"/>
      <c r="G26" s="19" t="str">
        <f aca="false">IF(F26="","",F26&amp;"|"&amp;COUNTIF($F$5:F26,F26))</f>
        <v/>
      </c>
    </row>
    <row r="27" customFormat="false" ht="15" hidden="false" customHeight="false" outlineLevel="0" collapsed="false">
      <c r="A27" s="16" t="n">
        <v>23</v>
      </c>
      <c r="B27" s="17"/>
      <c r="C27" s="17"/>
      <c r="D27" s="17"/>
      <c r="E27" s="18"/>
      <c r="F27" s="17"/>
      <c r="G27" s="19" t="str">
        <f aca="false">IF(F27="","",F27&amp;"|"&amp;COUNTIF($F$5:F27,F27))</f>
        <v/>
      </c>
    </row>
    <row r="28" customFormat="false" ht="15" hidden="false" customHeight="false" outlineLevel="0" collapsed="false">
      <c r="A28" s="16" t="n">
        <v>24</v>
      </c>
      <c r="B28" s="17"/>
      <c r="C28" s="17"/>
      <c r="D28" s="17"/>
      <c r="E28" s="18"/>
      <c r="F28" s="17"/>
      <c r="G28" s="19" t="str">
        <f aca="false">IF(F28="","",F28&amp;"|"&amp;COUNTIF($F$5:F28,F28))</f>
        <v/>
      </c>
    </row>
    <row r="29" customFormat="false" ht="15" hidden="false" customHeight="false" outlineLevel="0" collapsed="false">
      <c r="A29" s="16" t="n">
        <v>25</v>
      </c>
      <c r="B29" s="17"/>
      <c r="C29" s="17"/>
      <c r="D29" s="17"/>
      <c r="E29" s="18"/>
      <c r="F29" s="17"/>
      <c r="G29" s="19" t="str">
        <f aca="false">IF(F29="","",F29&amp;"|"&amp;COUNTIF($F$5:F29,F29))</f>
        <v/>
      </c>
    </row>
    <row r="30" customFormat="false" ht="15" hidden="false" customHeight="false" outlineLevel="0" collapsed="false">
      <c r="A30" s="16" t="n">
        <v>26</v>
      </c>
      <c r="B30" s="17"/>
      <c r="C30" s="17"/>
      <c r="D30" s="17"/>
      <c r="E30" s="18"/>
      <c r="F30" s="17"/>
      <c r="G30" s="19" t="str">
        <f aca="false">IF(F30="","",F30&amp;"|"&amp;COUNTIF($F$5:F30,F30))</f>
        <v/>
      </c>
    </row>
    <row r="31" customFormat="false" ht="15" hidden="false" customHeight="false" outlineLevel="0" collapsed="false">
      <c r="A31" s="16" t="n">
        <v>27</v>
      </c>
      <c r="B31" s="17"/>
      <c r="C31" s="17"/>
      <c r="D31" s="17"/>
      <c r="E31" s="18"/>
      <c r="F31" s="17"/>
      <c r="G31" s="19" t="str">
        <f aca="false">IF(F31="","",F31&amp;"|"&amp;COUNTIF($F$5:F31,F31))</f>
        <v/>
      </c>
    </row>
    <row r="32" customFormat="false" ht="15" hidden="false" customHeight="false" outlineLevel="0" collapsed="false">
      <c r="A32" s="16" t="n">
        <v>28</v>
      </c>
      <c r="B32" s="17"/>
      <c r="C32" s="17"/>
      <c r="D32" s="17"/>
      <c r="E32" s="18"/>
      <c r="F32" s="17"/>
      <c r="G32" s="19" t="str">
        <f aca="false">IF(F32="","",F32&amp;"|"&amp;COUNTIF($F$5:F32,F32))</f>
        <v/>
      </c>
    </row>
    <row r="33" customFormat="false" ht="15" hidden="false" customHeight="false" outlineLevel="0" collapsed="false">
      <c r="A33" s="16" t="n">
        <v>29</v>
      </c>
      <c r="B33" s="17"/>
      <c r="C33" s="17"/>
      <c r="D33" s="17"/>
      <c r="E33" s="18"/>
      <c r="F33" s="17"/>
      <c r="G33" s="19" t="str">
        <f aca="false">IF(F33="","",F33&amp;"|"&amp;COUNTIF($F$5:F33,F33))</f>
        <v/>
      </c>
    </row>
    <row r="34" customFormat="false" ht="15" hidden="false" customHeight="false" outlineLevel="0" collapsed="false">
      <c r="A34" s="16" t="n">
        <v>30</v>
      </c>
      <c r="B34" s="17"/>
      <c r="C34" s="17"/>
      <c r="D34" s="17"/>
      <c r="E34" s="18"/>
      <c r="F34" s="17"/>
      <c r="G34" s="19" t="str">
        <f aca="false">IF(F34="","",F34&amp;"|"&amp;COUNTIF($F$5:F34,F34))</f>
        <v/>
      </c>
    </row>
    <row r="35" customFormat="false" ht="15" hidden="false" customHeight="false" outlineLevel="0" collapsed="false">
      <c r="A35" s="16" t="n">
        <v>31</v>
      </c>
      <c r="B35" s="17"/>
      <c r="C35" s="17"/>
      <c r="D35" s="17"/>
      <c r="E35" s="18"/>
      <c r="F35" s="17"/>
      <c r="G35" s="19" t="str">
        <f aca="false">IF(F35="","",F35&amp;"|"&amp;COUNTIF($F$5:F35,F35))</f>
        <v/>
      </c>
    </row>
    <row r="36" customFormat="false" ht="15" hidden="false" customHeight="false" outlineLevel="0" collapsed="false">
      <c r="A36" s="16" t="n">
        <v>32</v>
      </c>
      <c r="B36" s="17"/>
      <c r="C36" s="17"/>
      <c r="D36" s="17"/>
      <c r="E36" s="18"/>
      <c r="F36" s="17"/>
      <c r="G36" s="19" t="str">
        <f aca="false">IF(F36="","",F36&amp;"|"&amp;COUNTIF($F$5:F36,F36))</f>
        <v/>
      </c>
    </row>
    <row r="37" customFormat="false" ht="15" hidden="false" customHeight="false" outlineLevel="0" collapsed="false">
      <c r="A37" s="16" t="n">
        <v>33</v>
      </c>
      <c r="B37" s="17"/>
      <c r="C37" s="17"/>
      <c r="D37" s="17"/>
      <c r="E37" s="18"/>
      <c r="F37" s="17"/>
      <c r="G37" s="19" t="str">
        <f aca="false">IF(F37="","",F37&amp;"|"&amp;COUNTIF($F$5:F37,F37))</f>
        <v/>
      </c>
    </row>
    <row r="38" customFormat="false" ht="15" hidden="false" customHeight="false" outlineLevel="0" collapsed="false">
      <c r="A38" s="16" t="n">
        <v>34</v>
      </c>
      <c r="B38" s="17"/>
      <c r="C38" s="17"/>
      <c r="D38" s="17"/>
      <c r="E38" s="18"/>
      <c r="F38" s="17"/>
      <c r="G38" s="19" t="str">
        <f aca="false">IF(F38="","",F38&amp;"|"&amp;COUNTIF($F$5:F38,F38))</f>
        <v/>
      </c>
    </row>
    <row r="39" customFormat="false" ht="15" hidden="false" customHeight="false" outlineLevel="0" collapsed="false">
      <c r="A39" s="16" t="n">
        <v>35</v>
      </c>
      <c r="B39" s="17"/>
      <c r="C39" s="17"/>
      <c r="D39" s="17"/>
      <c r="E39" s="18"/>
      <c r="F39" s="17"/>
      <c r="G39" s="19" t="str">
        <f aca="false">IF(F39="","",F39&amp;"|"&amp;COUNTIF($F$5:F39,F39))</f>
        <v/>
      </c>
    </row>
    <row r="40" customFormat="false" ht="15" hidden="false" customHeight="false" outlineLevel="0" collapsed="false">
      <c r="A40" s="16" t="n">
        <v>36</v>
      </c>
      <c r="B40" s="17"/>
      <c r="C40" s="17"/>
      <c r="D40" s="17"/>
      <c r="E40" s="18"/>
      <c r="F40" s="17"/>
      <c r="G40" s="19" t="str">
        <f aca="false">IF(F40="","",F40&amp;"|"&amp;COUNTIF($F$5:F40,F40))</f>
        <v/>
      </c>
    </row>
    <row r="41" customFormat="false" ht="15" hidden="false" customHeight="false" outlineLevel="0" collapsed="false">
      <c r="A41" s="16" t="n">
        <v>37</v>
      </c>
      <c r="B41" s="17"/>
      <c r="C41" s="17"/>
      <c r="D41" s="17"/>
      <c r="E41" s="18"/>
      <c r="F41" s="17"/>
      <c r="G41" s="19" t="str">
        <f aca="false">IF(F41="","",F41&amp;"|"&amp;COUNTIF($F$5:F41,F41))</f>
        <v/>
      </c>
    </row>
    <row r="42" customFormat="false" ht="15" hidden="false" customHeight="false" outlineLevel="0" collapsed="false">
      <c r="A42" s="16" t="n">
        <v>38</v>
      </c>
      <c r="B42" s="17"/>
      <c r="C42" s="17"/>
      <c r="D42" s="17"/>
      <c r="E42" s="18"/>
      <c r="F42" s="17"/>
      <c r="G42" s="19" t="str">
        <f aca="false">IF(F42="","",F42&amp;"|"&amp;COUNTIF($F$5:F42,F42))</f>
        <v/>
      </c>
    </row>
    <row r="43" customFormat="false" ht="15" hidden="false" customHeight="false" outlineLevel="0" collapsed="false">
      <c r="A43" s="16" t="n">
        <v>39</v>
      </c>
      <c r="B43" s="17"/>
      <c r="C43" s="17"/>
      <c r="D43" s="17"/>
      <c r="E43" s="18"/>
      <c r="F43" s="17"/>
      <c r="G43" s="19" t="str">
        <f aca="false">IF(F43="","",F43&amp;"|"&amp;COUNTIF($F$5:F43,F43))</f>
        <v/>
      </c>
    </row>
    <row r="44" customFormat="false" ht="15" hidden="false" customHeight="false" outlineLevel="0" collapsed="false">
      <c r="A44" s="16" t="n">
        <v>40</v>
      </c>
      <c r="B44" s="17"/>
      <c r="C44" s="17"/>
      <c r="D44" s="17"/>
      <c r="E44" s="18"/>
      <c r="F44" s="17"/>
      <c r="G44" s="19" t="str">
        <f aca="false">IF(F44="","",F44&amp;"|"&amp;COUNTIF($F$5:F44,F44))</f>
        <v/>
      </c>
    </row>
    <row r="45" customFormat="false" ht="15" hidden="false" customHeight="false" outlineLevel="0" collapsed="false">
      <c r="A45" s="16" t="n">
        <v>41</v>
      </c>
      <c r="B45" s="17"/>
      <c r="C45" s="17"/>
      <c r="D45" s="17"/>
      <c r="E45" s="18"/>
      <c r="F45" s="17"/>
      <c r="G45" s="19" t="str">
        <f aca="false">IF(F45="","",F45&amp;"|"&amp;COUNTIF($F$5:F45,F45))</f>
        <v/>
      </c>
    </row>
    <row r="46" customFormat="false" ht="15" hidden="false" customHeight="false" outlineLevel="0" collapsed="false">
      <c r="A46" s="16" t="n">
        <v>42</v>
      </c>
      <c r="B46" s="17"/>
      <c r="C46" s="17"/>
      <c r="D46" s="17"/>
      <c r="E46" s="18"/>
      <c r="F46" s="17"/>
      <c r="G46" s="19" t="str">
        <f aca="false">IF(F46="","",F46&amp;"|"&amp;COUNTIF($F$5:F46,F46))</f>
        <v/>
      </c>
    </row>
    <row r="47" customFormat="false" ht="15" hidden="false" customHeight="false" outlineLevel="0" collapsed="false">
      <c r="A47" s="16" t="n">
        <v>43</v>
      </c>
      <c r="B47" s="17"/>
      <c r="C47" s="17"/>
      <c r="D47" s="17"/>
      <c r="E47" s="18"/>
      <c r="F47" s="17"/>
      <c r="G47" s="19" t="str">
        <f aca="false">IF(F47="","",F47&amp;"|"&amp;COUNTIF($F$5:F47,F47))</f>
        <v/>
      </c>
    </row>
    <row r="48" customFormat="false" ht="15" hidden="false" customHeight="false" outlineLevel="0" collapsed="false">
      <c r="A48" s="16" t="n">
        <v>44</v>
      </c>
      <c r="B48" s="17"/>
      <c r="C48" s="17"/>
      <c r="D48" s="17"/>
      <c r="E48" s="18"/>
      <c r="F48" s="17"/>
      <c r="G48" s="19" t="str">
        <f aca="false">IF(F48="","",F48&amp;"|"&amp;COUNTIF($F$5:F48,F48))</f>
        <v/>
      </c>
    </row>
    <row r="49" customFormat="false" ht="15" hidden="false" customHeight="false" outlineLevel="0" collapsed="false">
      <c r="A49" s="16" t="n">
        <v>45</v>
      </c>
      <c r="B49" s="17"/>
      <c r="C49" s="17"/>
      <c r="D49" s="17"/>
      <c r="E49" s="18"/>
      <c r="F49" s="17"/>
      <c r="G49" s="19" t="str">
        <f aca="false">IF(F49="","",F49&amp;"|"&amp;COUNTIF($F$5:F49,F49))</f>
        <v/>
      </c>
    </row>
    <row r="50" customFormat="false" ht="15" hidden="false" customHeight="false" outlineLevel="0" collapsed="false">
      <c r="A50" s="16" t="n">
        <v>46</v>
      </c>
      <c r="B50" s="17"/>
      <c r="C50" s="17"/>
      <c r="D50" s="17"/>
      <c r="E50" s="18"/>
      <c r="F50" s="17"/>
      <c r="G50" s="19" t="str">
        <f aca="false">IF(F50="","",F50&amp;"|"&amp;COUNTIF($F$5:F50,F50))</f>
        <v/>
      </c>
    </row>
    <row r="51" customFormat="false" ht="15" hidden="false" customHeight="false" outlineLevel="0" collapsed="false">
      <c r="A51" s="16" t="n">
        <v>47</v>
      </c>
      <c r="B51" s="17"/>
      <c r="C51" s="17"/>
      <c r="D51" s="17"/>
      <c r="E51" s="18"/>
      <c r="F51" s="17"/>
      <c r="G51" s="19" t="str">
        <f aca="false">IF(F51="","",F51&amp;"|"&amp;COUNTIF($F$5:F51,F51))</f>
        <v/>
      </c>
    </row>
    <row r="52" customFormat="false" ht="15" hidden="false" customHeight="false" outlineLevel="0" collapsed="false">
      <c r="A52" s="16" t="n">
        <v>48</v>
      </c>
      <c r="B52" s="17"/>
      <c r="C52" s="17"/>
      <c r="D52" s="17"/>
      <c r="E52" s="18"/>
      <c r="F52" s="17"/>
      <c r="G52" s="19" t="str">
        <f aca="false">IF(F52="","",F52&amp;"|"&amp;COUNTIF($F$5:F52,F52))</f>
        <v/>
      </c>
    </row>
    <row r="53" customFormat="false" ht="15" hidden="false" customHeight="false" outlineLevel="0" collapsed="false">
      <c r="A53" s="16" t="n">
        <v>49</v>
      </c>
      <c r="B53" s="17"/>
      <c r="C53" s="17"/>
      <c r="D53" s="17"/>
      <c r="E53" s="18"/>
      <c r="F53" s="17"/>
      <c r="G53" s="19" t="str">
        <f aca="false">IF(F53="","",F53&amp;"|"&amp;COUNTIF($F$5:F53,F53))</f>
        <v/>
      </c>
    </row>
    <row r="54" customFormat="false" ht="15" hidden="false" customHeight="false" outlineLevel="0" collapsed="false">
      <c r="A54" s="16" t="n">
        <v>50</v>
      </c>
      <c r="B54" s="17"/>
      <c r="C54" s="17"/>
      <c r="D54" s="17"/>
      <c r="E54" s="18"/>
      <c r="F54" s="17"/>
      <c r="G54" s="19" t="str">
        <f aca="false">IF(F54="","",F54&amp;"|"&amp;COUNTIF($F$5:F54,F54))</f>
        <v/>
      </c>
    </row>
  </sheetData>
  <dataValidations count="2">
    <dataValidation allowBlank="true" errorStyle="stop" operator="between" showDropDown="false" showErrorMessage="false" showInputMessage="false" sqref="F5:F54" type="list">
      <formula1>"À faire,En cours,En revue,Terminé"</formula1>
      <formula2>0</formula2>
    </dataValidation>
    <dataValidation allowBlank="true" errorStyle="stop" operator="between" showDropDown="false" showErrorMessage="false" showInputMessage="false" sqref="D5:D54" type="list">
      <formula1>"Haute,Moyenne,Basse"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2026-10-13T12:27:56Z</dcterms:created>
  <dc:creator>openpyxl</dc:creator>
  <dc:description/>
  <dc:language>en-US</dc:language>
  <cp:lastModifiedBy/>
  <dcterms:modified xsi:type="dcterms:W3CDTF">2026-10-13T12:27:56Z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