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anban" sheetId="1" state="visible" r:id="rId3"/>
    <sheet name="Tâches" sheetId="2" state="visible" r:id="rId4"/>
    <sheet name="Tableau de bord" sheetId="3" state="visible" r:id="rId5"/>
    <sheet name="Paramètres" sheetId="4" state="visible" r:id="rId6"/>
    <sheet name="Guide" sheetId="5" state="visible" r:id="rId7"/>
  </sheets>
  <definedNames>
    <definedName function="false" hidden="true" localSheetId="1" name="_xlnm._FilterDatabase" vbProcedure="false">Tâches!$A$4:$P$104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<sst xmlns="http://schemas.openxmlformats.org/spreadsheetml/2006/main" count="199" uniqueCount="109">
  <si>
    <t xml:space="preserve">Tableau Kanban</t>
  </si>
  <si>
    <t xml:space="preserve">Cartes triées par priorité. Changez le Statut dans « Tâches » : la carte se déplace. Colonne rouge = limite WIP dépassée.</t>
  </si>
  <si>
    <t xml:space="preserve">Filtrer par responsable :</t>
  </si>
  <si>
    <t xml:space="preserve">Tous</t>
  </si>
  <si>
    <t xml:space="preserve">Liste des tâches</t>
  </si>
  <si>
    <t xml:space="preserve">Saisissez uniquement les colonnes jaunes (B à K). Les colonnes grises (A, L à P) sont calculées. Astuce : Ctrl+; insère la date du jour.</t>
  </si>
  <si>
    <t xml:space="preserve">ID (auto)</t>
  </si>
  <si>
    <t xml:space="preserve">Tâche</t>
  </si>
  <si>
    <t xml:space="preserve">Catégorie</t>
  </si>
  <si>
    <t xml:space="preserve">Responsable</t>
  </si>
  <si>
    <t xml:space="preserve">Priorité</t>
  </si>
  <si>
    <t xml:space="preserve">Statut</t>
  </si>
  <si>
    <t xml:space="preserve">Estimation (h)</t>
  </si>
  <si>
    <t xml:space="preserve">Date création</t>
  </si>
  <si>
    <t xml:space="preserve">Date début</t>
  </si>
  <si>
    <t xml:space="preserve">Échéance</t>
  </si>
  <si>
    <t xml:space="preserve">Date fin</t>
  </si>
  <si>
    <t xml:space="preserve">Avancement</t>
  </si>
  <si>
    <t xml:space="preserve">Jours restants</t>
  </si>
  <si>
    <t xml:space="preserve">Alerte</t>
  </si>
  <si>
    <t xml:space="preserve">Cycle time (j)</t>
  </si>
  <si>
    <t xml:space="preserve">Âge (j)</t>
  </si>
  <si>
    <t xml:space="preserve">Score prio</t>
  </si>
  <si>
    <t xml:space="preserve">Visible</t>
  </si>
  <si>
    <t xml:space="preserve">Rang</t>
  </si>
  <si>
    <t xml:space="preserve">Clé</t>
  </si>
  <si>
    <t xml:space="preserve">Carte</t>
  </si>
  <si>
    <t xml:space="preserve">Définir le périmètre</t>
  </si>
  <si>
    <t xml:space="preserve">Admin</t>
  </si>
  <si>
    <t xml:space="preserve">Alice</t>
  </si>
  <si>
    <t xml:space="preserve">Haute</t>
  </si>
  <si>
    <t xml:space="preserve">Terminé</t>
  </si>
  <si>
    <t xml:space="preserve">Réunion de lancement</t>
  </si>
  <si>
    <t xml:space="preserve">Karim</t>
  </si>
  <si>
    <t xml:space="preserve">Moyenne</t>
  </si>
  <si>
    <t xml:space="preserve">Étude de marché</t>
  </si>
  <si>
    <t xml:space="preserve">Marketing</t>
  </si>
  <si>
    <t xml:space="preserve">Sara</t>
  </si>
  <si>
    <t xml:space="preserve">Charte graphique</t>
  </si>
  <si>
    <t xml:space="preserve">Conception</t>
  </si>
  <si>
    <t xml:space="preserve">Choix de l'architecture</t>
  </si>
  <si>
    <t xml:space="preserve">Développement</t>
  </si>
  <si>
    <t xml:space="preserve">Yacine</t>
  </si>
  <si>
    <t xml:space="preserve">Maquettes de l'interface</t>
  </si>
  <si>
    <t xml:space="preserve">Cahier des charges</t>
  </si>
  <si>
    <t xml:space="preserve">Développer le module connexion</t>
  </si>
  <si>
    <t xml:space="preserve">En revue</t>
  </si>
  <si>
    <t xml:space="preserve">Valider le budget</t>
  </si>
  <si>
    <t xml:space="preserve">Développer le tableau de bord</t>
  </si>
  <si>
    <t xml:space="preserve">En cours</t>
  </si>
  <si>
    <t xml:space="preserve">Plan de communication</t>
  </si>
  <si>
    <t xml:space="preserve">Rédiger la documentation</t>
  </si>
  <si>
    <t xml:space="preserve">Basse</t>
  </si>
  <si>
    <t xml:space="preserve">Tests d'intégration</t>
  </si>
  <si>
    <t xml:space="preserve">Qualité</t>
  </si>
  <si>
    <t xml:space="preserve">À faire</t>
  </si>
  <si>
    <t xml:space="preserve">Choisir les fournisseurs</t>
  </si>
  <si>
    <t xml:space="preserve">Campagne réseaux sociaux</t>
  </si>
  <si>
    <t xml:space="preserve">Former l'équipe</t>
  </si>
  <si>
    <t xml:space="preserve">Optimiser les performances</t>
  </si>
  <si>
    <t xml:space="preserve">Backlog</t>
  </si>
  <si>
    <t xml:space="preserve">Application mobile</t>
  </si>
  <si>
    <t xml:space="preserve">Audit de sécurité</t>
  </si>
  <si>
    <t xml:space="preserve">Tableau de bord du projet</t>
  </si>
  <si>
    <t xml:space="preserve">Tâches au total</t>
  </si>
  <si>
    <t xml:space="preserve">Terminées</t>
  </si>
  <si>
    <t xml:space="preserve">Avancement (pondéré h)</t>
  </si>
  <si>
    <t xml:space="preserve">En retard</t>
  </si>
  <si>
    <t xml:space="preserve">En cours (WIP)</t>
  </si>
  <si>
    <t xml:space="preserve">Cycle time moyen (j)</t>
  </si>
  <si>
    <t xml:space="preserve">Tâches</t>
  </si>
  <si>
    <t xml:space="preserve">Heures</t>
  </si>
  <si>
    <t xml:space="preserve">Total</t>
  </si>
  <si>
    <t xml:space="preserve">Ouvertes</t>
  </si>
  <si>
    <t xml:space="preserve">H ouvertes</t>
  </si>
  <si>
    <t xml:space="preserve">Capacité h/sem</t>
  </si>
  <si>
    <t xml:space="preserve">Charge (sem.)</t>
  </si>
  <si>
    <t xml:space="preserve">Semaine du</t>
  </si>
  <si>
    <t xml:space="preserve">Début (date)</t>
  </si>
  <si>
    <t xml:space="preserve">Charge &gt; 3 semaines de travail en rouge (surcharge).</t>
  </si>
  <si>
    <t xml:space="preserve">Heures restantes :</t>
  </si>
  <si>
    <t xml:space="preserve">Débit hebdomadaire = tâches terminées par semaine (date fin).</t>
  </si>
  <si>
    <t xml:space="preserve">Débit moyen (4 sem.) :</t>
  </si>
  <si>
    <t xml:space="preserve">tâches/sem</t>
  </si>
  <si>
    <t xml:space="preserve">Paramètres (listes et règles)</t>
  </si>
  <si>
    <t xml:space="preserve">Modifiez les cellules jaunes : tout le classeur (listes déroulantes, Kanban, tableau de bord) s'adapte automatiquement.</t>
  </si>
  <si>
    <t xml:space="preserve">Limite WIP</t>
  </si>
  <si>
    <t xml:space="preserve">Avancement %</t>
  </si>
  <si>
    <t xml:space="preserve">Équipe</t>
  </si>
  <si>
    <t xml:space="preserve">Capacité (h/sem)</t>
  </si>
  <si>
    <t xml:space="preserve">Filtre Kanban</t>
  </si>
  <si>
    <t xml:space="preserve">Date du jour</t>
  </si>
  <si>
    <t xml:space="preserve">Alerte « bientôt » (jours avant échéance)</t>
  </si>
  <si>
    <t xml:space="preserve">Limite WIP vide = illimité. « Terminé » doit rester la 5e ligne (colonne finale).</t>
  </si>
  <si>
    <t xml:space="preserve">Guide d'utilisation</t>
  </si>
  <si>
    <t xml:space="preserve">1. Paramètres : définissez statuts, limites WIP, équipe, capacités, catégories (cellules jaunes).</t>
  </si>
  <si>
    <t xml:space="preserve">2. Tâches : une ligne par tâche (jusqu'à 100). ID, avancement, alertes, cycle time sont automatiques.</t>
  </si>
  <si>
    <t xml:space="preserve">3. Kanban : les cartes se placent seules selon le Statut, triées par priorité. Filtrez par responsable en C3.</t>
  </si>
  <si>
    <t xml:space="preserve">4. Tableau de bord : KPI, charge par personne, débit hebdomadaire et graphiques, tout se met à jour seul.</t>
  </si>
  <si>
    <t xml:space="preserve">Automatisations incluses (sans macro)</t>
  </si>
  <si>
    <t xml:space="preserve">• ID automatique • listes déroulantes liées aux Paramètres • avancement % selon le statut</t>
  </si>
  <si>
    <t xml:space="preserve">• alertes En retard / Bientôt (date du jour = TODAY) • cycle time et âge des tâches</t>
  </si>
  <si>
    <t xml:space="preserve">• limites WIP : la colonne devient rouge au dépassement • tri des cartes par priorité</t>
  </si>
  <si>
    <t xml:space="preserve">• filtre par responsable • charge d'équipe vs capacité • débit sur 8 semaines</t>
  </si>
  <si>
    <t xml:space="preserve">Dates automatiques (option macro)</t>
  </si>
  <si>
    <t xml:space="preserve">Excel ne peut pas horodater un changement de statut avec des formules seules. Le fichier Kanban_Macro_Dates.txt</t>
  </si>
  <si>
    <t xml:space="preserve">contient une petite macro VBA : date création / début / fin remplies automatiquement quand le Statut change.</t>
  </si>
  <si>
    <t xml:space="preserve">Pour l'activer : enregistrer en .xlsm, clic droit sur l'onglet « Tâches » &gt; Visualiser le code &gt; coller la macro.</t>
  </si>
  <si>
    <t xml:space="preserve">Sans la macro, saisissez les dates à la main (Ctrl+; = date du jour).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</si>
</sst>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0%;\-0%;;"/>
    <numFmt numFmtId="167" formatCode="General"/>
    <numFmt numFmtId="168" formatCode="0"/>
    <numFmt numFmtId="169" formatCode="0%"/>
    <numFmt numFmtId="170" formatCode="0.0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7F7F7F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b val="true"/>
      <sz val="10"/>
      <color rgb="FFED7D31"/>
      <name val="Arial"/>
      <family val="0"/>
      <charset val="1"/>
    </font>
    <font>
      <b val="true"/>
      <sz val="10"/>
      <color rgb="FF7030A0"/>
      <name val="Arial"/>
      <family val="0"/>
      <charset val="1"/>
    </font>
    <font>
      <b val="true"/>
      <sz val="10"/>
      <color rgb="FF548235"/>
      <name val="Arial"/>
      <family val="0"/>
      <charset val="1"/>
    </font>
    <font>
      <sz val="8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24"/>
      <color rgb="FF1F3864"/>
      <name val="Arial"/>
      <family val="0"/>
      <charset val="1"/>
    </font>
    <font>
      <b val="true"/>
      <sz val="24"/>
      <color rgb="FF548235"/>
      <name val="Arial"/>
      <family val="0"/>
      <charset val="1"/>
    </font>
    <font>
      <b val="true"/>
      <sz val="24"/>
      <color rgb="FFC00000"/>
      <name val="Arial"/>
      <family val="0"/>
      <charset val="1"/>
    </font>
    <font>
      <b val="true"/>
      <sz val="24"/>
      <color rgb="FFED7D31"/>
      <name val="Arial"/>
      <family val="0"/>
      <charset val="1"/>
    </font>
    <font>
      <b val="true"/>
      <sz val="24"/>
      <color rgb="FF7030A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1F3864"/>
      <name val="Arial"/>
      <family val="0"/>
      <charset val="1"/>
    </font>
    <font>
      <sz val="10"/>
      <color rgb="FF80808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sz val="11"/>
      <color rgb="FF0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9DB"/>
        <bgColor rgb="FFFFF2CC"/>
      </patternFill>
    </fill>
    <fill>
      <patternFill patternType="solid">
        <fgColor rgb="FF7F7F7F"/>
        <bgColor rgb="FF808080"/>
      </patternFill>
    </fill>
    <fill>
      <patternFill patternType="solid">
        <fgColor rgb="FF2E75B6"/>
        <bgColor rgb="FF4A7EBB"/>
      </patternFill>
    </fill>
    <fill>
      <patternFill patternType="solid">
        <fgColor rgb="FFED7D31"/>
        <bgColor rgb="FFFF8080"/>
      </patternFill>
    </fill>
    <fill>
      <patternFill patternType="solid">
        <fgColor rgb="FF7030A0"/>
        <bgColor rgb="FF333399"/>
      </patternFill>
    </fill>
    <fill>
      <patternFill patternType="solid">
        <fgColor rgb="FF548235"/>
        <bgColor rgb="FF595959"/>
      </patternFill>
    </fill>
    <fill>
      <patternFill patternType="solid">
        <fgColor rgb="FFF2F2F2"/>
        <bgColor rgb="FFEDEDED"/>
      </patternFill>
    </fill>
    <fill>
      <patternFill patternType="solid">
        <fgColor rgb="FF1F3864"/>
        <bgColor rgb="FF333333"/>
      </patternFill>
    </fill>
    <fill>
      <patternFill patternType="solid">
        <fgColor rgb="FFEDEDED"/>
        <bgColor rgb="FFF2F2F2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medium">
        <color rgb="FF1F3864"/>
      </top>
      <bottom/>
      <diagonal/>
    </border>
    <border diagonalUp="false" diagonalDown="false">
      <left/>
      <right/>
      <top style="medium">
        <color rgb="FF548235"/>
      </top>
      <bottom/>
      <diagonal/>
    </border>
    <border diagonalUp="false" diagonalDown="false">
      <left/>
      <right/>
      <top style="medium">
        <color rgb="FFC00000"/>
      </top>
      <bottom/>
      <diagonal/>
    </border>
    <border diagonalUp="false" diagonalDown="false">
      <left/>
      <right/>
      <top style="medium">
        <color rgb="FFED7D31"/>
      </top>
      <bottom/>
      <diagonal/>
    </border>
    <border diagonalUp="false" diagonalDown="false">
      <left/>
      <right/>
      <top style="medium">
        <color rgb="FF7030A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8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8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8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2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5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6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9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ont>
        <name val="Arial"/>
        <charset val="1"/>
        <family val="0"/>
        <b val="1"/>
        <color rgb="FFFFFFFF"/>
      </font>
      <fill>
        <patternFill>
          <bgColor rgb="FFC00000"/>
        </patternFill>
      </fill>
    </dxf>
    <dxf>
      <font>
        <name val="Arial"/>
        <charset val="1"/>
        <family val="0"/>
        <b val="1"/>
        <color rgb="FFC00000"/>
      </font>
    </dxf>
    <dxf>
      <fill>
        <patternFill>
          <bgColor rgb="FFFDE2E2"/>
        </patternFill>
      </fill>
      <border diagonalUp="false" diagonalDown="false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ill>
        <patternFill>
          <bgColor rgb="FFFFF2CC"/>
        </patternFill>
      </fill>
      <border diagonalUp="false" diagonalDown="false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ill>
        <patternFill>
          <bgColor rgb="FFE2F0D9"/>
        </patternFill>
      </fill>
      <border diagonalUp="false" diagonalDown="false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ont>
        <name val="Arial"/>
        <charset val="1"/>
        <family val="0"/>
        <strike val="1"/>
        <color rgb="FF808080"/>
      </font>
    </dxf>
    <dxf>
      <font>
        <name val="Arial"/>
        <charset val="1"/>
        <family val="0"/>
        <b val="1"/>
        <color rgb="FFC00000"/>
      </font>
      <fill>
        <patternFill>
          <bgColor rgb="FFF8CBAD"/>
        </patternFill>
      </fill>
    </dxf>
    <dxf>
      <fill>
        <patternFill>
          <bgColor rgb="FFFFE69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4F81BD"/>
      <rgbColor rgb="FFBFBFBF"/>
      <rgbColor rgb="FF808080"/>
      <rgbColor rgb="FF7F7F7F"/>
      <rgbColor rgb="FF7030A0"/>
      <rgbColor rgb="FFFFF9DB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F0D9"/>
      <rgbColor rgb="FFFFE699"/>
      <rgbColor rgb="FFFFF2CC"/>
      <rgbColor rgb="FFFDE2E2"/>
      <rgbColor rgb="FFCC99FF"/>
      <rgbColor rgb="FFF8CBAD"/>
      <rgbColor rgb="FF2E75B6"/>
      <rgbColor rgb="FF33CCCC"/>
      <rgbColor rgb="FF9BBB59"/>
      <rgbColor rgb="FFFFCC00"/>
      <rgbColor rgb="FFFF9900"/>
      <rgbColor rgb="FFED7D31"/>
      <rgbColor rgb="FF595959"/>
      <rgbColor rgb="FF878787"/>
      <rgbColor rgb="FF1F3864"/>
      <rgbColor rgb="FF4A7EBB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Tâches par statut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'Tableau de bord'!C8</c:f>
              <c:strCache>
                <c:ptCount val="1"/>
                <c:pt idx="0">
                  <c:v>Tâches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bord'!$B$9:$B$13</c:f>
              <c:strCache>
                <c:ptCount val="5"/>
                <c:pt idx="0">
                  <c:v>Backlog</c:v>
                </c:pt>
                <c:pt idx="1">
                  <c:v>À faire</c:v>
                </c:pt>
                <c:pt idx="2">
                  <c:v>En cours</c:v>
                </c:pt>
                <c:pt idx="3">
                  <c:v>En revue</c:v>
                </c:pt>
                <c:pt idx="4">
                  <c:v>Terminé</c:v>
                </c:pt>
              </c:strCache>
            </c:strRef>
          </c:cat>
          <c:val>
            <c:numRef>
              <c:f>'Tableau de bord'!$C$9:$C$13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7</c:v>
                </c:pt>
              </c:numCache>
            </c:numRef>
          </c:val>
        </c:ser>
        <c:gapWidth val="150"/>
        <c:overlap val="0"/>
        <c:axId val="80162915"/>
        <c:axId val="5166045"/>
      </c:barChart>
      <c:catAx>
        <c:axId val="801629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66045"/>
        <c:crosses val="autoZero"/>
        <c:auto val="1"/>
        <c:lblAlgn val="ctr"/>
        <c:lblOffset val="100"/>
        <c:noMultiLvlLbl val="0"/>
      </c:catAx>
      <c:valAx>
        <c:axId val="51660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1629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Répartition par priorité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'Tableau de bord'!G8</c:f>
              <c:strCache>
                <c:ptCount val="1"/>
                <c:pt idx="0">
                  <c:v>Tâches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'Tableau de bord'!$F$9:$F$11</c:f>
              <c:strCache>
                <c:ptCount val="3"/>
                <c:pt idx="0">
                  <c:v>Haute</c:v>
                </c:pt>
                <c:pt idx="1">
                  <c:v>Moyenne</c:v>
                </c:pt>
                <c:pt idx="2">
                  <c:v>Basse</c:v>
                </c:pt>
              </c:strCache>
            </c:strRef>
          </c:cat>
          <c:val>
            <c:numRef>
              <c:f>'Tableau de bord'!$G$9:$G$11</c:f>
              <c:numCache>
                <c:formatCode>General</c:formatCode>
                <c:ptCount val="3"/>
                <c:pt idx="0">
                  <c:v>8</c:v>
                </c:pt>
                <c:pt idx="1">
                  <c:v>7</c:v>
                </c:pt>
                <c:pt idx="2">
                  <c:v>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Charge par responsable (semaines)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'Tableau de bord'!H17</c:f>
              <c:strCache>
                <c:ptCount val="1"/>
                <c:pt idx="0">
                  <c:v>Charge (sem.)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bord'!$B$18:$B$21</c:f>
              <c:strCache>
                <c:ptCount val="4"/>
                <c:pt idx="0">
                  <c:v>Alice</c:v>
                </c:pt>
                <c:pt idx="1">
                  <c:v>Karim</c:v>
                </c:pt>
                <c:pt idx="2">
                  <c:v>Sara</c:v>
                </c:pt>
                <c:pt idx="3">
                  <c:v>Yacine</c:v>
                </c:pt>
              </c:strCache>
            </c:strRef>
          </c:cat>
          <c:val>
            <c:numRef>
              <c:f>'Tableau de bord'!$H$18:$H$21</c:f>
              <c:numCache>
                <c:formatCode>0.0</c:formatCode>
                <c:ptCount val="4"/>
                <c:pt idx="0">
                  <c:v>0.571428571428571</c:v>
                </c:pt>
                <c:pt idx="1">
                  <c:v>1.17142857142857</c:v>
                </c:pt>
                <c:pt idx="2">
                  <c:v>0.6</c:v>
                </c:pt>
                <c:pt idx="3">
                  <c:v>2.62857142857143</c:v>
                </c:pt>
              </c:numCache>
            </c:numRef>
          </c:val>
        </c:ser>
        <c:gapWidth val="150"/>
        <c:overlap val="0"/>
        <c:axId val="49597138"/>
        <c:axId val="3487570"/>
      </c:barChart>
      <c:catAx>
        <c:axId val="495971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87570"/>
        <c:crosses val="autoZero"/>
        <c:auto val="1"/>
        <c:lblAlgn val="ctr"/>
        <c:lblOffset val="100"/>
        <c:noMultiLvlLbl val="0"/>
      </c:catAx>
      <c:valAx>
        <c:axId val="34875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5971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Débit hebdomadaire (tâches terminées)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'Tableau de bord'!K17</c:f>
              <c:strCache>
                <c:ptCount val="1"/>
                <c:pt idx="0">
                  <c:v>Terminées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bord'!$J$18:$J$25</c:f>
              <c:strCache>
                <c:ptCount val="8"/>
                <c:pt idx="0">
                  <c:v>24/08</c:v>
                </c:pt>
                <c:pt idx="1">
                  <c:v>31/08</c:v>
                </c:pt>
                <c:pt idx="2">
                  <c:v>07/09</c:v>
                </c:pt>
                <c:pt idx="3">
                  <c:v>14/09</c:v>
                </c:pt>
                <c:pt idx="4">
                  <c:v>21/09</c:v>
                </c:pt>
                <c:pt idx="5">
                  <c:v>28/09</c:v>
                </c:pt>
                <c:pt idx="6">
                  <c:v>05/10</c:v>
                </c:pt>
                <c:pt idx="7">
                  <c:v>12/10</c:v>
                </c:pt>
              </c:strCache>
            </c:strRef>
          </c:cat>
          <c:val>
            <c:numRef>
              <c:f>'Tableau de bord'!$K$18:$K$25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849589"/>
        <c:axId val="30714449"/>
      </c:lineChart>
      <c:catAx>
        <c:axId val="18495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714449"/>
        <c:crosses val="autoZero"/>
        <c:auto val="1"/>
        <c:lblAlgn val="ctr"/>
        <c:lblOffset val="100"/>
        <c:noMultiLvlLbl val="0"/>
      </c:catAx>
      <c:valAx>
        <c:axId val="307144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495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27</xdr:row>
      <xdr:rowOff>40680</xdr:rowOff>
    </xdr:from>
    <xdr:to>
      <xdr:col>6</xdr:col>
      <xdr:colOff>465480</xdr:colOff>
      <xdr:row>41</xdr:row>
      <xdr:rowOff>73440</xdr:rowOff>
    </xdr:to>
    <xdr:graphicFrame>
      <xdr:nvGraphicFramePr>
        <xdr:cNvPr id="0" name="Chart 1"/>
        <xdr:cNvGraphicFramePr/>
      </xdr:nvGraphicFramePr>
      <xdr:xfrm>
        <a:off x="211320" y="58388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27</xdr:row>
      <xdr:rowOff>40680</xdr:rowOff>
    </xdr:from>
    <xdr:to>
      <xdr:col>12</xdr:col>
      <xdr:colOff>732600</xdr:colOff>
      <xdr:row>41</xdr:row>
      <xdr:rowOff>73440</xdr:rowOff>
    </xdr:to>
    <xdr:graphicFrame>
      <xdr:nvGraphicFramePr>
        <xdr:cNvPr id="1" name="Chart 2"/>
        <xdr:cNvGraphicFramePr/>
      </xdr:nvGraphicFramePr>
      <xdr:xfrm>
        <a:off x="7119000" y="583884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43</xdr:row>
      <xdr:rowOff>40680</xdr:rowOff>
    </xdr:from>
    <xdr:to>
      <xdr:col>6</xdr:col>
      <xdr:colOff>465480</xdr:colOff>
      <xdr:row>57</xdr:row>
      <xdr:rowOff>73440</xdr:rowOff>
    </xdr:to>
    <xdr:graphicFrame>
      <xdr:nvGraphicFramePr>
        <xdr:cNvPr id="2" name="Chart 3"/>
        <xdr:cNvGraphicFramePr/>
      </xdr:nvGraphicFramePr>
      <xdr:xfrm>
        <a:off x="211320" y="888696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43</xdr:row>
      <xdr:rowOff>40680</xdr:rowOff>
    </xdr:from>
    <xdr:to>
      <xdr:col>12</xdr:col>
      <xdr:colOff>732600</xdr:colOff>
      <xdr:row>57</xdr:row>
      <xdr:rowOff>73440</xdr:rowOff>
    </xdr:to>
    <xdr:graphicFrame>
      <xdr:nvGraphicFramePr>
        <xdr:cNvPr id="3" name="Chart 4"/>
        <xdr:cNvGraphicFramePr/>
      </xdr:nvGraphicFramePr>
      <xdr:xfrm>
        <a:off x="7119000" y="888696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6" min="2" style="0" width="36"/>
  </cols>
  <sheetData>
    <row r="1" customFormat="false" ht="26.8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 t="s">
        <v>2</v>
      </c>
      <c r="C3" s="4" t="s">
        <v>3</v>
      </c>
      <c r="E3" s="5" t="str">
        <f aca="false">"⚠ En retard : "&amp;COUNTIF(Tâches!$N$5:$N$104,"⚠ En retard")&amp;"     ⏰ Bientôt : "&amp;COUNTIF(Tâches!$N$5:$N$104,"⏰ Bientôt")</f>
        <v>⚠ En retard : 2     ⏰ Bientôt : 2</v>
      </c>
      <c r="F3" s="5"/>
    </row>
    <row r="5" customFormat="false" ht="27.75" hidden="false" customHeight="true" outlineLevel="0" collapsed="false">
      <c r="B5" s="6" t="str">
        <f aca="false">Paramètres!B5</f>
        <v>Backlog</v>
      </c>
      <c r="C5" s="7" t="str">
        <f aca="false">Paramètres!B6</f>
        <v>À faire</v>
      </c>
      <c r="D5" s="8" t="str">
        <f aca="false">Paramètres!B7</f>
        <v>En cours</v>
      </c>
      <c r="E5" s="9" t="str">
        <f aca="false">Paramètres!B8</f>
        <v>En revue</v>
      </c>
      <c r="F5" s="10" t="str">
        <f aca="false">Paramètres!B9</f>
        <v>Terminé</v>
      </c>
    </row>
    <row r="6" customFormat="false" ht="15" hidden="false" customHeight="false" outlineLevel="0" collapsed="false">
      <c r="B6" s="11" t="str">
        <f aca="false">COUNTIFS(Tâches!$F$5:$F$104,B$5,Tâches!$R$5:$R$104,1)&amp;" / "&amp;IF(Paramètres!$C$5="","∞",Paramètres!$C$5)</f>
        <v>3 / ∞</v>
      </c>
      <c r="C6" s="12" t="str">
        <f aca="false">COUNTIFS(Tâches!$F$5:$F$104,C$5,Tâches!$R$5:$R$104,1)&amp;" / "&amp;IF(Paramètres!$C$6="","∞",Paramètres!$C$6)</f>
        <v>4 / 8</v>
      </c>
      <c r="D6" s="13" t="str">
        <f aca="false">COUNTIFS(Tâches!$F$5:$F$104,D$5,Tâches!$R$5:$R$104,1)&amp;" / "&amp;IF(Paramètres!$C$7="","∞",Paramètres!$C$7)</f>
        <v>3 / 4</v>
      </c>
      <c r="E6" s="14" t="str">
        <f aca="false">COUNTIFS(Tâches!$F$5:$F$104,E$5,Tâches!$R$5:$R$104,1)&amp;" / "&amp;IF(Paramètres!$C$8="","∞",Paramètres!$C$8)</f>
        <v>2 / 3</v>
      </c>
      <c r="F6" s="15" t="str">
        <f aca="false">COUNTIFS(Tâches!$F$5:$F$104,F$5,Tâches!$R$5:$R$104,1)&amp;" / "&amp;IF(Paramètres!$C$9="","∞",Paramètres!$C$9)</f>
        <v>7 / ∞</v>
      </c>
    </row>
    <row r="7" customFormat="false" ht="61.5" hidden="false" customHeight="true" outlineLevel="0" collapsed="false">
      <c r="A7" s="16" t="n">
        <v>1</v>
      </c>
      <c r="B7" s="17" t="str">
        <f aca="false">IFERROR(INDEX(Tâches!$U$5:$U$104,MATCH(B$5&amp;"|"&amp;$A7,Tâches!$T$5:$T$104,0)),"")</f>
        <v>T-019  Audit de sécurité
👤 Karim   📅 —
🟠 Moyenne</v>
      </c>
      <c r="C7" s="17" t="str">
        <f aca="false">IFERROR(INDEX(Tâches!$U$5:$U$104,MATCH(C$5&amp;"|"&amp;$A7,Tâches!$T$5:$T$104,0)),"")</f>
        <v>T-013  Tests d'intégration
👤 Karim   📅 23/10
🔴 Haute</v>
      </c>
      <c r="D7" s="17" t="str">
        <f aca="false">IFERROR(INDEX(Tâches!$U$5:$U$104,MATCH(D$5&amp;"|"&amp;$A7,Tâches!$T$5:$T$104,0)),"")</f>
        <v>T-010  Développer le tableau de bord
👤 Yacine   📅 20/10
🔴 Haute</v>
      </c>
      <c r="E7" s="17" t="str">
        <f aca="false">IFERROR(INDEX(Tâches!$U$5:$U$104,MATCH(E$5&amp;"|"&amp;$A7,Tâches!$T$5:$T$104,0)),"")</f>
        <v>T-008  Développer le module connexion
👤 Yacine   📅 15/10
🔴 Haute</v>
      </c>
      <c r="F7" s="17" t="str">
        <f aca="false">IFERROR(INDEX(Tâches!$U$5:$U$104,MATCH(F$5&amp;"|"&amp;$A7,Tâches!$T$5:$T$104,0)),"")</f>
        <v>T-001  Définir le périmètre
👤 Alice   📅 23/09
🔴 Haute</v>
      </c>
    </row>
    <row r="8" customFormat="false" ht="61.5" hidden="false" customHeight="true" outlineLevel="0" collapsed="false">
      <c r="A8" s="16" t="n">
        <v>2</v>
      </c>
      <c r="B8" s="17" t="str">
        <f aca="false">IFERROR(INDEX(Tâches!$U$5:$U$104,MATCH(B$5&amp;"|"&amp;$A8,Tâches!$T$5:$T$104,0)),"")</f>
        <v>T-017  Optimiser les performances
👤 Yacine   📅 —
🟢 Basse</v>
      </c>
      <c r="C8" s="17" t="str">
        <f aca="false">IFERROR(INDEX(Tâches!$U$5:$U$104,MATCH(C$5&amp;"|"&amp;$A8,Tâches!$T$5:$T$104,0)),"")</f>
        <v>T-015  Campagne réseaux sociaux
👤 Sara   📅 31/10
🟠 Moyenne</v>
      </c>
      <c r="D8" s="17" t="str">
        <f aca="false">IFERROR(INDEX(Tâches!$U$5:$U$104,MATCH(D$5&amp;"|"&amp;$A8,Tâches!$T$5:$T$104,0)),"")</f>
        <v>T-011  Plan de communication
👤 Sara   📅 16/10
🟠 Moyenne</v>
      </c>
      <c r="E8" s="17" t="str">
        <f aca="false">IFERROR(INDEX(Tâches!$U$5:$U$104,MATCH(E$5&amp;"|"&amp;$A8,Tâches!$T$5:$T$104,0)),"")</f>
        <v>T-009  Valider le budget
👤 Karim   📅 12/10
🟠 Moyenne   ⚠ En retard</v>
      </c>
      <c r="F8" s="17" t="str">
        <f aca="false">IFERROR(INDEX(Tâches!$U$5:$U$104,MATCH(F$5&amp;"|"&amp;$A8,Tâches!$T$5:$T$104,0)),"")</f>
        <v>T-004  Charte graphique
👤 Sara   📅 01/10
🔴 Haute</v>
      </c>
    </row>
    <row r="9" customFormat="false" ht="61.5" hidden="false" customHeight="true" outlineLevel="0" collapsed="false">
      <c r="A9" s="16" t="n">
        <v>3</v>
      </c>
      <c r="B9" s="17" t="str">
        <f aca="false">IFERROR(INDEX(Tâches!$U$5:$U$104,MATCH(B$5&amp;"|"&amp;$A9,Tâches!$T$5:$T$104,0)),"")</f>
        <v>T-018  Application mobile
👤 Yacine   📅 —
🟢 Basse</v>
      </c>
      <c r="C9" s="17" t="str">
        <f aca="false">IFERROR(INDEX(Tâches!$U$5:$U$104,MATCH(C$5&amp;"|"&amp;$A9,Tâches!$T$5:$T$104,0)),"")</f>
        <v>T-016  Former l'équipe
👤 Alice   📅 03/11
🟠 Moyenne</v>
      </c>
      <c r="D9" s="17" t="str">
        <f aca="false">IFERROR(INDEX(Tâches!$U$5:$U$104,MATCH(D$5&amp;"|"&amp;$A9,Tâches!$T$5:$T$104,0)),"")</f>
        <v>T-012  Rédiger la documentation
👤 Alice   📅 11/10
🟢 Basse   ⚠ En retard</v>
      </c>
      <c r="E9" s="17" t="str">
        <f aca="false">IFERROR(INDEX(Tâches!$U$5:$U$104,MATCH(E$5&amp;"|"&amp;$A9,Tâches!$T$5:$T$104,0)),"")</f>
        <v/>
      </c>
      <c r="F9" s="17" t="str">
        <f aca="false">IFERROR(INDEX(Tâches!$U$5:$U$104,MATCH(F$5&amp;"|"&amp;$A9,Tâches!$T$5:$T$104,0)),"")</f>
        <v>T-005  Choix de l'architecture
👤 Yacine   📅 03/10
🔴 Haute</v>
      </c>
    </row>
    <row r="10" customFormat="false" ht="61.5" hidden="false" customHeight="true" outlineLevel="0" collapsed="false">
      <c r="A10" s="16" t="n">
        <v>4</v>
      </c>
      <c r="B10" s="17" t="str">
        <f aca="false">IFERROR(INDEX(Tâches!$U$5:$U$104,MATCH(B$5&amp;"|"&amp;$A10,Tâches!$T$5:$T$104,0)),"")</f>
        <v/>
      </c>
      <c r="C10" s="17" t="str">
        <f aca="false">IFERROR(INDEX(Tâches!$U$5:$U$104,MATCH(C$5&amp;"|"&amp;$A10,Tâches!$T$5:$T$104,0)),"")</f>
        <v>T-014  Choisir les fournisseurs
👤 Karim   📅 27/10
🟢 Basse</v>
      </c>
      <c r="D10" s="17" t="str">
        <f aca="false">IFERROR(INDEX(Tâches!$U$5:$U$104,MATCH(D$5&amp;"|"&amp;$A10,Tâches!$T$5:$T$104,0)),"")</f>
        <v/>
      </c>
      <c r="E10" s="17" t="str">
        <f aca="false">IFERROR(INDEX(Tâches!$U$5:$U$104,MATCH(E$5&amp;"|"&amp;$A10,Tâches!$T$5:$T$104,0)),"")</f>
        <v/>
      </c>
      <c r="F10" s="17" t="str">
        <f aca="false">IFERROR(INDEX(Tâches!$U$5:$U$104,MATCH(F$5&amp;"|"&amp;$A10,Tâches!$T$5:$T$104,0)),"")</f>
        <v>T-006  Maquettes de l'interface
👤 Sara   📅 08/10
🔴 Haute</v>
      </c>
    </row>
    <row r="11" customFormat="false" ht="61.5" hidden="false" customHeight="true" outlineLevel="0" collapsed="false">
      <c r="A11" s="16" t="n">
        <v>5</v>
      </c>
      <c r="B11" s="17" t="str">
        <f aca="false">IFERROR(INDEX(Tâches!$U$5:$U$104,MATCH(B$5&amp;"|"&amp;$A11,Tâches!$T$5:$T$104,0)),"")</f>
        <v/>
      </c>
      <c r="C11" s="17" t="str">
        <f aca="false">IFERROR(INDEX(Tâches!$U$5:$U$104,MATCH(C$5&amp;"|"&amp;$A11,Tâches!$T$5:$T$104,0)),"")</f>
        <v/>
      </c>
      <c r="D11" s="17" t="str">
        <f aca="false">IFERROR(INDEX(Tâches!$U$5:$U$104,MATCH(D$5&amp;"|"&amp;$A11,Tâches!$T$5:$T$104,0)),"")</f>
        <v/>
      </c>
      <c r="E11" s="17" t="str">
        <f aca="false">IFERROR(INDEX(Tâches!$U$5:$U$104,MATCH(E$5&amp;"|"&amp;$A11,Tâches!$T$5:$T$104,0)),"")</f>
        <v/>
      </c>
      <c r="F11" s="17" t="str">
        <f aca="false">IFERROR(INDEX(Tâches!$U$5:$U$104,MATCH(F$5&amp;"|"&amp;$A11,Tâches!$T$5:$T$104,0)),"")</f>
        <v>T-007  Cahier des charges
👤 Alice   📅 09/10
🔴 Haute</v>
      </c>
    </row>
    <row r="12" customFormat="false" ht="61.5" hidden="false" customHeight="true" outlineLevel="0" collapsed="false">
      <c r="A12" s="16" t="n">
        <v>6</v>
      </c>
      <c r="B12" s="17" t="str">
        <f aca="false">IFERROR(INDEX(Tâches!$U$5:$U$104,MATCH(B$5&amp;"|"&amp;$A12,Tâches!$T$5:$T$104,0)),"")</f>
        <v/>
      </c>
      <c r="C12" s="17" t="str">
        <f aca="false">IFERROR(INDEX(Tâches!$U$5:$U$104,MATCH(C$5&amp;"|"&amp;$A12,Tâches!$T$5:$T$104,0)),"")</f>
        <v/>
      </c>
      <c r="D12" s="17" t="str">
        <f aca="false">IFERROR(INDEX(Tâches!$U$5:$U$104,MATCH(D$5&amp;"|"&amp;$A12,Tâches!$T$5:$T$104,0)),"")</f>
        <v/>
      </c>
      <c r="E12" s="17" t="str">
        <f aca="false">IFERROR(INDEX(Tâches!$U$5:$U$104,MATCH(E$5&amp;"|"&amp;$A12,Tâches!$T$5:$T$104,0)),"")</f>
        <v/>
      </c>
      <c r="F12" s="17" t="str">
        <f aca="false">IFERROR(INDEX(Tâches!$U$5:$U$104,MATCH(F$5&amp;"|"&amp;$A12,Tâches!$T$5:$T$104,0)),"")</f>
        <v>T-002  Réunion de lancement
👤 Karim   📅 19/09
🟠 Moyenne</v>
      </c>
    </row>
    <row r="13" customFormat="false" ht="61.5" hidden="false" customHeight="true" outlineLevel="0" collapsed="false">
      <c r="A13" s="16" t="n">
        <v>7</v>
      </c>
      <c r="B13" s="17" t="str">
        <f aca="false">IFERROR(INDEX(Tâches!$U$5:$U$104,MATCH(B$5&amp;"|"&amp;$A13,Tâches!$T$5:$T$104,0)),"")</f>
        <v/>
      </c>
      <c r="C13" s="17" t="str">
        <f aca="false">IFERROR(INDEX(Tâches!$U$5:$U$104,MATCH(C$5&amp;"|"&amp;$A13,Tâches!$T$5:$T$104,0)),"")</f>
        <v/>
      </c>
      <c r="D13" s="17" t="str">
        <f aca="false">IFERROR(INDEX(Tâches!$U$5:$U$104,MATCH(D$5&amp;"|"&amp;$A13,Tâches!$T$5:$T$104,0)),"")</f>
        <v/>
      </c>
      <c r="E13" s="17" t="str">
        <f aca="false">IFERROR(INDEX(Tâches!$U$5:$U$104,MATCH(E$5&amp;"|"&amp;$A13,Tâches!$T$5:$T$104,0)),"")</f>
        <v/>
      </c>
      <c r="F13" s="17" t="str">
        <f aca="false">IFERROR(INDEX(Tâches!$U$5:$U$104,MATCH(F$5&amp;"|"&amp;$A13,Tâches!$T$5:$T$104,0)),"")</f>
        <v>T-003  Étude de marché
👤 Sara   📅 28/09
🟠 Moyenne</v>
      </c>
    </row>
    <row r="14" customFormat="false" ht="61.5" hidden="false" customHeight="true" outlineLevel="0" collapsed="false">
      <c r="A14" s="16" t="n">
        <v>8</v>
      </c>
      <c r="B14" s="17" t="str">
        <f aca="false">IFERROR(INDEX(Tâches!$U$5:$U$104,MATCH(B$5&amp;"|"&amp;$A14,Tâches!$T$5:$T$104,0)),"")</f>
        <v/>
      </c>
      <c r="C14" s="17" t="str">
        <f aca="false">IFERROR(INDEX(Tâches!$U$5:$U$104,MATCH(C$5&amp;"|"&amp;$A14,Tâches!$T$5:$T$104,0)),"")</f>
        <v/>
      </c>
      <c r="D14" s="17" t="str">
        <f aca="false">IFERROR(INDEX(Tâches!$U$5:$U$104,MATCH(D$5&amp;"|"&amp;$A14,Tâches!$T$5:$T$104,0)),"")</f>
        <v/>
      </c>
      <c r="E14" s="17" t="str">
        <f aca="false">IFERROR(INDEX(Tâches!$U$5:$U$104,MATCH(E$5&amp;"|"&amp;$A14,Tâches!$T$5:$T$104,0)),"")</f>
        <v/>
      </c>
      <c r="F14" s="17" t="str">
        <f aca="false">IFERROR(INDEX(Tâches!$U$5:$U$104,MATCH(F$5&amp;"|"&amp;$A14,Tâches!$T$5:$T$104,0)),"")</f>
        <v/>
      </c>
    </row>
    <row r="15" customFormat="false" ht="61.5" hidden="false" customHeight="true" outlineLevel="0" collapsed="false">
      <c r="A15" s="16" t="n">
        <v>9</v>
      </c>
      <c r="B15" s="17" t="str">
        <f aca="false">IFERROR(INDEX(Tâches!$U$5:$U$104,MATCH(B$5&amp;"|"&amp;$A15,Tâches!$T$5:$T$104,0)),"")</f>
        <v/>
      </c>
      <c r="C15" s="17" t="str">
        <f aca="false">IFERROR(INDEX(Tâches!$U$5:$U$104,MATCH(C$5&amp;"|"&amp;$A15,Tâches!$T$5:$T$104,0)),"")</f>
        <v/>
      </c>
      <c r="D15" s="17" t="str">
        <f aca="false">IFERROR(INDEX(Tâches!$U$5:$U$104,MATCH(D$5&amp;"|"&amp;$A15,Tâches!$T$5:$T$104,0)),"")</f>
        <v/>
      </c>
      <c r="E15" s="17" t="str">
        <f aca="false">IFERROR(INDEX(Tâches!$U$5:$U$104,MATCH(E$5&amp;"|"&amp;$A15,Tâches!$T$5:$T$104,0)),"")</f>
        <v/>
      </c>
      <c r="F15" s="17" t="str">
        <f aca="false">IFERROR(INDEX(Tâches!$U$5:$U$104,MATCH(F$5&amp;"|"&amp;$A15,Tâches!$T$5:$T$104,0)),"")</f>
        <v/>
      </c>
    </row>
    <row r="16" customFormat="false" ht="61.5" hidden="false" customHeight="true" outlineLevel="0" collapsed="false">
      <c r="A16" s="16" t="n">
        <v>10</v>
      </c>
      <c r="B16" s="17" t="str">
        <f aca="false">IFERROR(INDEX(Tâches!$U$5:$U$104,MATCH(B$5&amp;"|"&amp;$A16,Tâches!$T$5:$T$104,0)),"")</f>
        <v/>
      </c>
      <c r="C16" s="17" t="str">
        <f aca="false">IFERROR(INDEX(Tâches!$U$5:$U$104,MATCH(C$5&amp;"|"&amp;$A16,Tâches!$T$5:$T$104,0)),"")</f>
        <v/>
      </c>
      <c r="D16" s="17" t="str">
        <f aca="false">IFERROR(INDEX(Tâches!$U$5:$U$104,MATCH(D$5&amp;"|"&amp;$A16,Tâches!$T$5:$T$104,0)),"")</f>
        <v/>
      </c>
      <c r="E16" s="17" t="str">
        <f aca="false">IFERROR(INDEX(Tâches!$U$5:$U$104,MATCH(E$5&amp;"|"&amp;$A16,Tâches!$T$5:$T$104,0)),"")</f>
        <v/>
      </c>
      <c r="F16" s="17" t="str">
        <f aca="false">IFERROR(INDEX(Tâches!$U$5:$U$104,MATCH(F$5&amp;"|"&amp;$A16,Tâches!$T$5:$T$104,0)),"")</f>
        <v/>
      </c>
    </row>
    <row r="17" customFormat="false" ht="61.5" hidden="false" customHeight="true" outlineLevel="0" collapsed="false">
      <c r="A17" s="16" t="n">
        <v>11</v>
      </c>
      <c r="B17" s="17" t="str">
        <f aca="false">IFERROR(INDEX(Tâches!$U$5:$U$104,MATCH(B$5&amp;"|"&amp;$A17,Tâches!$T$5:$T$104,0)),"")</f>
        <v/>
      </c>
      <c r="C17" s="17" t="str">
        <f aca="false">IFERROR(INDEX(Tâches!$U$5:$U$104,MATCH(C$5&amp;"|"&amp;$A17,Tâches!$T$5:$T$104,0)),"")</f>
        <v/>
      </c>
      <c r="D17" s="17" t="str">
        <f aca="false">IFERROR(INDEX(Tâches!$U$5:$U$104,MATCH(D$5&amp;"|"&amp;$A17,Tâches!$T$5:$T$104,0)),"")</f>
        <v/>
      </c>
      <c r="E17" s="17" t="str">
        <f aca="false">IFERROR(INDEX(Tâches!$U$5:$U$104,MATCH(E$5&amp;"|"&amp;$A17,Tâches!$T$5:$T$104,0)),"")</f>
        <v/>
      </c>
      <c r="F17" s="17" t="str">
        <f aca="false">IFERROR(INDEX(Tâches!$U$5:$U$104,MATCH(F$5&amp;"|"&amp;$A17,Tâches!$T$5:$T$104,0)),"")</f>
        <v/>
      </c>
    </row>
    <row r="18" customFormat="false" ht="61.5" hidden="false" customHeight="true" outlineLevel="0" collapsed="false">
      <c r="A18" s="16" t="n">
        <v>12</v>
      </c>
      <c r="B18" s="17" t="str">
        <f aca="false">IFERROR(INDEX(Tâches!$U$5:$U$104,MATCH(B$5&amp;"|"&amp;$A18,Tâches!$T$5:$T$104,0)),"")</f>
        <v/>
      </c>
      <c r="C18" s="17" t="str">
        <f aca="false">IFERROR(INDEX(Tâches!$U$5:$U$104,MATCH(C$5&amp;"|"&amp;$A18,Tâches!$T$5:$T$104,0)),"")</f>
        <v/>
      </c>
      <c r="D18" s="17" t="str">
        <f aca="false">IFERROR(INDEX(Tâches!$U$5:$U$104,MATCH(D$5&amp;"|"&amp;$A18,Tâches!$T$5:$T$104,0)),"")</f>
        <v/>
      </c>
      <c r="E18" s="17" t="str">
        <f aca="false">IFERROR(INDEX(Tâches!$U$5:$U$104,MATCH(E$5&amp;"|"&amp;$A18,Tâches!$T$5:$T$104,0)),"")</f>
        <v/>
      </c>
      <c r="F18" s="17" t="str">
        <f aca="false">IFERROR(INDEX(Tâches!$U$5:$U$104,MATCH(F$5&amp;"|"&amp;$A18,Tâches!$T$5:$T$104,0)),"")</f>
        <v/>
      </c>
    </row>
    <row r="19" customFormat="false" ht="61.5" hidden="false" customHeight="true" outlineLevel="0" collapsed="false">
      <c r="A19" s="16" t="n">
        <v>13</v>
      </c>
      <c r="B19" s="17" t="str">
        <f aca="false">IFERROR(INDEX(Tâches!$U$5:$U$104,MATCH(B$5&amp;"|"&amp;$A19,Tâches!$T$5:$T$104,0)),"")</f>
        <v/>
      </c>
      <c r="C19" s="17" t="str">
        <f aca="false">IFERROR(INDEX(Tâches!$U$5:$U$104,MATCH(C$5&amp;"|"&amp;$A19,Tâches!$T$5:$T$104,0)),"")</f>
        <v/>
      </c>
      <c r="D19" s="17" t="str">
        <f aca="false">IFERROR(INDEX(Tâches!$U$5:$U$104,MATCH(D$5&amp;"|"&amp;$A19,Tâches!$T$5:$T$104,0)),"")</f>
        <v/>
      </c>
      <c r="E19" s="17" t="str">
        <f aca="false">IFERROR(INDEX(Tâches!$U$5:$U$104,MATCH(E$5&amp;"|"&amp;$A19,Tâches!$T$5:$T$104,0)),"")</f>
        <v/>
      </c>
      <c r="F19" s="17" t="str">
        <f aca="false">IFERROR(INDEX(Tâches!$U$5:$U$104,MATCH(F$5&amp;"|"&amp;$A19,Tâches!$T$5:$T$104,0)),"")</f>
        <v/>
      </c>
    </row>
    <row r="20" customFormat="false" ht="61.5" hidden="false" customHeight="true" outlineLevel="0" collapsed="false">
      <c r="A20" s="16" t="n">
        <v>14</v>
      </c>
      <c r="B20" s="17" t="str">
        <f aca="false">IFERROR(INDEX(Tâches!$U$5:$U$104,MATCH(B$5&amp;"|"&amp;$A20,Tâches!$T$5:$T$104,0)),"")</f>
        <v/>
      </c>
      <c r="C20" s="17" t="str">
        <f aca="false">IFERROR(INDEX(Tâches!$U$5:$U$104,MATCH(C$5&amp;"|"&amp;$A20,Tâches!$T$5:$T$104,0)),"")</f>
        <v/>
      </c>
      <c r="D20" s="17" t="str">
        <f aca="false">IFERROR(INDEX(Tâches!$U$5:$U$104,MATCH(D$5&amp;"|"&amp;$A20,Tâches!$T$5:$T$104,0)),"")</f>
        <v/>
      </c>
      <c r="E20" s="17" t="str">
        <f aca="false">IFERROR(INDEX(Tâches!$U$5:$U$104,MATCH(E$5&amp;"|"&amp;$A20,Tâches!$T$5:$T$104,0)),"")</f>
        <v/>
      </c>
      <c r="F20" s="17" t="str">
        <f aca="false">IFERROR(INDEX(Tâches!$U$5:$U$104,MATCH(F$5&amp;"|"&amp;$A20,Tâches!$T$5:$T$104,0)),"")</f>
        <v/>
      </c>
    </row>
    <row r="21" customFormat="false" ht="61.5" hidden="false" customHeight="true" outlineLevel="0" collapsed="false">
      <c r="A21" s="16" t="n">
        <v>15</v>
      </c>
      <c r="B21" s="17" t="str">
        <f aca="false">IFERROR(INDEX(Tâches!$U$5:$U$104,MATCH(B$5&amp;"|"&amp;$A21,Tâches!$T$5:$T$104,0)),"")</f>
        <v/>
      </c>
      <c r="C21" s="17" t="str">
        <f aca="false">IFERROR(INDEX(Tâches!$U$5:$U$104,MATCH(C$5&amp;"|"&amp;$A21,Tâches!$T$5:$T$104,0)),"")</f>
        <v/>
      </c>
      <c r="D21" s="17" t="str">
        <f aca="false">IFERROR(INDEX(Tâches!$U$5:$U$104,MATCH(D$5&amp;"|"&amp;$A21,Tâches!$T$5:$T$104,0)),"")</f>
        <v/>
      </c>
      <c r="E21" s="17" t="str">
        <f aca="false">IFERROR(INDEX(Tâches!$U$5:$U$104,MATCH(E$5&amp;"|"&amp;$A21,Tâches!$T$5:$T$104,0)),"")</f>
        <v/>
      </c>
      <c r="F21" s="17" t="str">
        <f aca="false">IFERROR(INDEX(Tâches!$U$5:$U$104,MATCH(F$5&amp;"|"&amp;$A21,Tâches!$T$5:$T$104,0)),"")</f>
        <v/>
      </c>
    </row>
    <row r="22" customFormat="false" ht="61.5" hidden="false" customHeight="true" outlineLevel="0" collapsed="false">
      <c r="A22" s="16" t="n">
        <v>16</v>
      </c>
      <c r="B22" s="17" t="str">
        <f aca="false">IFERROR(INDEX(Tâches!$U$5:$U$104,MATCH(B$5&amp;"|"&amp;$A22,Tâches!$T$5:$T$104,0)),"")</f>
        <v/>
      </c>
      <c r="C22" s="17" t="str">
        <f aca="false">IFERROR(INDEX(Tâches!$U$5:$U$104,MATCH(C$5&amp;"|"&amp;$A22,Tâches!$T$5:$T$104,0)),"")</f>
        <v/>
      </c>
      <c r="D22" s="17" t="str">
        <f aca="false">IFERROR(INDEX(Tâches!$U$5:$U$104,MATCH(D$5&amp;"|"&amp;$A22,Tâches!$T$5:$T$104,0)),"")</f>
        <v/>
      </c>
      <c r="E22" s="17" t="str">
        <f aca="false">IFERROR(INDEX(Tâches!$U$5:$U$104,MATCH(E$5&amp;"|"&amp;$A22,Tâches!$T$5:$T$104,0)),"")</f>
        <v/>
      </c>
      <c r="F22" s="17" t="str">
        <f aca="false">IFERROR(INDEX(Tâches!$U$5:$U$104,MATCH(F$5&amp;"|"&amp;$A22,Tâches!$T$5:$T$104,0)),"")</f>
        <v/>
      </c>
    </row>
    <row r="23" customFormat="false" ht="61.5" hidden="false" customHeight="true" outlineLevel="0" collapsed="false">
      <c r="A23" s="16" t="n">
        <v>17</v>
      </c>
      <c r="B23" s="17" t="str">
        <f aca="false">IFERROR(INDEX(Tâches!$U$5:$U$104,MATCH(B$5&amp;"|"&amp;$A23,Tâches!$T$5:$T$104,0)),"")</f>
        <v/>
      </c>
      <c r="C23" s="17" t="str">
        <f aca="false">IFERROR(INDEX(Tâches!$U$5:$U$104,MATCH(C$5&amp;"|"&amp;$A23,Tâches!$T$5:$T$104,0)),"")</f>
        <v/>
      </c>
      <c r="D23" s="17" t="str">
        <f aca="false">IFERROR(INDEX(Tâches!$U$5:$U$104,MATCH(D$5&amp;"|"&amp;$A23,Tâches!$T$5:$T$104,0)),"")</f>
        <v/>
      </c>
      <c r="E23" s="17" t="str">
        <f aca="false">IFERROR(INDEX(Tâches!$U$5:$U$104,MATCH(E$5&amp;"|"&amp;$A23,Tâches!$T$5:$T$104,0)),"")</f>
        <v/>
      </c>
      <c r="F23" s="17" t="str">
        <f aca="false">IFERROR(INDEX(Tâches!$U$5:$U$104,MATCH(F$5&amp;"|"&amp;$A23,Tâches!$T$5:$T$104,0)),"")</f>
        <v/>
      </c>
    </row>
    <row r="24" customFormat="false" ht="61.5" hidden="false" customHeight="true" outlineLevel="0" collapsed="false">
      <c r="A24" s="16" t="n">
        <v>18</v>
      </c>
      <c r="B24" s="17" t="str">
        <f aca="false">IFERROR(INDEX(Tâches!$U$5:$U$104,MATCH(B$5&amp;"|"&amp;$A24,Tâches!$T$5:$T$104,0)),"")</f>
        <v/>
      </c>
      <c r="C24" s="17" t="str">
        <f aca="false">IFERROR(INDEX(Tâches!$U$5:$U$104,MATCH(C$5&amp;"|"&amp;$A24,Tâches!$T$5:$T$104,0)),"")</f>
        <v/>
      </c>
      <c r="D24" s="17" t="str">
        <f aca="false">IFERROR(INDEX(Tâches!$U$5:$U$104,MATCH(D$5&amp;"|"&amp;$A24,Tâches!$T$5:$T$104,0)),"")</f>
        <v/>
      </c>
      <c r="E24" s="17" t="str">
        <f aca="false">IFERROR(INDEX(Tâches!$U$5:$U$104,MATCH(E$5&amp;"|"&amp;$A24,Tâches!$T$5:$T$104,0)),"")</f>
        <v/>
      </c>
      <c r="F24" s="17" t="str">
        <f aca="false">IFERROR(INDEX(Tâches!$U$5:$U$104,MATCH(F$5&amp;"|"&amp;$A24,Tâches!$T$5:$T$104,0)),"")</f>
        <v/>
      </c>
    </row>
    <row r="25" customFormat="false" ht="61.5" hidden="false" customHeight="true" outlineLevel="0" collapsed="false">
      <c r="A25" s="16" t="n">
        <v>19</v>
      </c>
      <c r="B25" s="17" t="str">
        <f aca="false">IFERROR(INDEX(Tâches!$U$5:$U$104,MATCH(B$5&amp;"|"&amp;$A25,Tâches!$T$5:$T$104,0)),"")</f>
        <v/>
      </c>
      <c r="C25" s="17" t="str">
        <f aca="false">IFERROR(INDEX(Tâches!$U$5:$U$104,MATCH(C$5&amp;"|"&amp;$A25,Tâches!$T$5:$T$104,0)),"")</f>
        <v/>
      </c>
      <c r="D25" s="17" t="str">
        <f aca="false">IFERROR(INDEX(Tâches!$U$5:$U$104,MATCH(D$5&amp;"|"&amp;$A25,Tâches!$T$5:$T$104,0)),"")</f>
        <v/>
      </c>
      <c r="E25" s="17" t="str">
        <f aca="false">IFERROR(INDEX(Tâches!$U$5:$U$104,MATCH(E$5&amp;"|"&amp;$A25,Tâches!$T$5:$T$104,0)),"")</f>
        <v/>
      </c>
      <c r="F25" s="17" t="str">
        <f aca="false">IFERROR(INDEX(Tâches!$U$5:$U$104,MATCH(F$5&amp;"|"&amp;$A25,Tâches!$T$5:$T$104,0)),"")</f>
        <v/>
      </c>
    </row>
    <row r="26" customFormat="false" ht="61.5" hidden="false" customHeight="true" outlineLevel="0" collapsed="false">
      <c r="A26" s="16" t="n">
        <v>20</v>
      </c>
      <c r="B26" s="17" t="str">
        <f aca="false">IFERROR(INDEX(Tâches!$U$5:$U$104,MATCH(B$5&amp;"|"&amp;$A26,Tâches!$T$5:$T$104,0)),"")</f>
        <v/>
      </c>
      <c r="C26" s="17" t="str">
        <f aca="false">IFERROR(INDEX(Tâches!$U$5:$U$104,MATCH(C$5&amp;"|"&amp;$A26,Tâches!$T$5:$T$104,0)),"")</f>
        <v/>
      </c>
      <c r="D26" s="17" t="str">
        <f aca="false">IFERROR(INDEX(Tâches!$U$5:$U$104,MATCH(D$5&amp;"|"&amp;$A26,Tâches!$T$5:$T$104,0)),"")</f>
        <v/>
      </c>
      <c r="E26" s="17" t="str">
        <f aca="false">IFERROR(INDEX(Tâches!$U$5:$U$104,MATCH(E$5&amp;"|"&amp;$A26,Tâches!$T$5:$T$104,0)),"")</f>
        <v/>
      </c>
      <c r="F26" s="17" t="str">
        <f aca="false">IFERROR(INDEX(Tâches!$U$5:$U$104,MATCH(F$5&amp;"|"&amp;$A26,Tâches!$T$5:$T$104,0)),"")</f>
        <v/>
      </c>
    </row>
  </sheetData>
  <mergeCells count="1">
    <mergeCell ref="E3:F3"/>
  </mergeCells>
  <conditionalFormatting sqref="B5:B6">
    <cfRule type="expression" priority="2" aboveAverage="0" equalAverage="0" bottom="0" percent="0" rank="0" text="" dxfId="0">
      <formula>AND(Paramètres!$C$5&lt;&gt;"",COUNTIFS(Tâches!$F$5:$F$104,B$5,Tâches!$R$5:$R$104,1)&gt;Paramètres!$C$5)</formula>
    </cfRule>
  </conditionalFormatting>
  <conditionalFormatting sqref="C5:C6">
    <cfRule type="expression" priority="3" aboveAverage="0" equalAverage="0" bottom="0" percent="0" rank="0" text="" dxfId="0">
      <formula>AND(Paramètres!$C$6&lt;&gt;"",COUNTIFS(Tâches!$F$5:$F$104,C$5,Tâches!$R$5:$R$104,1)&gt;Paramètres!$C$6)</formula>
    </cfRule>
  </conditionalFormatting>
  <conditionalFormatting sqref="D5:D6">
    <cfRule type="expression" priority="4" aboveAverage="0" equalAverage="0" bottom="0" percent="0" rank="0" text="" dxfId="0">
      <formula>AND(Paramètres!$C$7&lt;&gt;"",COUNTIFS(Tâches!$F$5:$F$104,D$5,Tâches!$R$5:$R$104,1)&gt;Paramètres!$C$7)</formula>
    </cfRule>
  </conditionalFormatting>
  <conditionalFormatting sqref="E5:E6">
    <cfRule type="expression" priority="5" aboveAverage="0" equalAverage="0" bottom="0" percent="0" rank="0" text="" dxfId="0">
      <formula>AND(Paramètres!$C$8&lt;&gt;"",COUNTIFS(Tâches!$F$5:$F$104,E$5,Tâches!$R$5:$R$104,1)&gt;Paramètres!$C$8)</formula>
    </cfRule>
  </conditionalFormatting>
  <conditionalFormatting sqref="F5:F6">
    <cfRule type="expression" priority="6" aboveAverage="0" equalAverage="0" bottom="0" percent="0" rank="0" text="" dxfId="0">
      <formula>AND(Paramètres!$C$9&lt;&gt;"",COUNTIFS(Tâches!$F$5:$F$104,F$5,Tâches!$R$5:$R$104,1)&gt;Paramètres!$C$9)</formula>
    </cfRule>
  </conditionalFormatting>
  <conditionalFormatting sqref="B7:F26">
    <cfRule type="expression" priority="7" aboveAverage="0" equalAverage="0" bottom="0" percent="0" rank="0" text="" dxfId="1">
      <formula>ISNUMBER(SEARCH("En retard",B7))</formula>
    </cfRule>
    <cfRule type="expression" priority="8" aboveAverage="0" equalAverage="0" bottom="0" percent="0" rank="0" text="" dxfId="2">
      <formula>ISNUMBER(SEARCH("Haute",B7))</formula>
    </cfRule>
    <cfRule type="expression" priority="9" aboveAverage="0" equalAverage="0" bottom="0" percent="0" rank="0" text="" dxfId="3">
      <formula>ISNUMBER(SEARCH("Moyenne",B7))</formula>
    </cfRule>
    <cfRule type="expression" priority="10" aboveAverage="0" equalAverage="0" bottom="0" percent="0" rank="0" text="" dxfId="4">
      <formula>ISNUMBER(SEARCH("Basse",B7))</formula>
    </cfRule>
  </conditionalFormatting>
  <dataValidations count="1">
    <dataValidation allowBlank="false" errorStyle="stop" operator="between" showDropDown="false" showErrorMessage="false" showInputMessage="false" sqref="C3" type="list">
      <formula1>Paramètres!$N$5:$N$11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7" min="5" style="0" width="11"/>
    <col collapsed="false" customWidth="true" hidden="false" outlineLevel="0" max="11" min="8" style="0" width="13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4" min="14" style="0" width="14"/>
    <col collapsed="false" customWidth="true" hidden="false" outlineLevel="0" max="15" min="15" style="0" width="11"/>
    <col collapsed="false" customWidth="true" hidden="false" outlineLevel="0" max="16" min="16" style="0" width="9"/>
    <col collapsed="false" customWidth="true" hidden="true" outlineLevel="0" max="21" min="17" style="0" width="13"/>
  </cols>
  <sheetData>
    <row r="1" customFormat="false" ht="22.05" hidden="false" customHeight="false" outlineLevel="0" collapsed="false">
      <c r="A1" s="18" t="s">
        <v>4</v>
      </c>
    </row>
    <row r="2" customFormat="false" ht="15" hidden="false" customHeight="false" outlineLevel="0" collapsed="false">
      <c r="A2" s="19" t="s">
        <v>5</v>
      </c>
    </row>
    <row r="4" customFormat="false" ht="31.5" hidden="false" customHeight="true" outlineLevel="0" collapsed="false">
      <c r="A4" s="20" t="s">
        <v>6</v>
      </c>
      <c r="B4" s="20" t="s">
        <v>7</v>
      </c>
      <c r="C4" s="20" t="s">
        <v>8</v>
      </c>
      <c r="D4" s="20" t="s">
        <v>9</v>
      </c>
      <c r="E4" s="20" t="s">
        <v>10</v>
      </c>
      <c r="F4" s="20" t="s">
        <v>11</v>
      </c>
      <c r="G4" s="20" t="s">
        <v>12</v>
      </c>
      <c r="H4" s="20" t="s">
        <v>13</v>
      </c>
      <c r="I4" s="20" t="s">
        <v>14</v>
      </c>
      <c r="J4" s="20" t="s">
        <v>15</v>
      </c>
      <c r="K4" s="20" t="s">
        <v>16</v>
      </c>
      <c r="L4" s="21" t="s">
        <v>17</v>
      </c>
      <c r="M4" s="21" t="s">
        <v>18</v>
      </c>
      <c r="N4" s="21" t="s">
        <v>19</v>
      </c>
      <c r="O4" s="21" t="s">
        <v>20</v>
      </c>
      <c r="P4" s="21" t="s">
        <v>21</v>
      </c>
      <c r="Q4" s="21" t="s">
        <v>22</v>
      </c>
      <c r="R4" s="21" t="s">
        <v>23</v>
      </c>
      <c r="S4" s="21" t="s">
        <v>24</v>
      </c>
      <c r="T4" s="21" t="s">
        <v>25</v>
      </c>
      <c r="U4" s="21" t="s">
        <v>26</v>
      </c>
    </row>
    <row r="5" customFormat="false" ht="35.05" hidden="false" customHeight="false" outlineLevel="0" collapsed="false">
      <c r="A5" s="22" t="str">
        <f aca="false">IF(B5="","","T-"&amp;TEXT(ROW()-4,"000"))</f>
        <v>T-001</v>
      </c>
      <c r="B5" s="23" t="s">
        <v>27</v>
      </c>
      <c r="C5" s="23" t="s">
        <v>28</v>
      </c>
      <c r="D5" s="23" t="s">
        <v>29</v>
      </c>
      <c r="E5" s="23" t="s">
        <v>30</v>
      </c>
      <c r="F5" s="23" t="s">
        <v>31</v>
      </c>
      <c r="G5" s="23" t="n">
        <v>6</v>
      </c>
      <c r="H5" s="24" t="n">
        <v>46278</v>
      </c>
      <c r="I5" s="24" t="n">
        <v>46280</v>
      </c>
      <c r="J5" s="24" t="n">
        <v>46288</v>
      </c>
      <c r="K5" s="24" t="n">
        <v>46283</v>
      </c>
      <c r="L5" s="25" t="n">
        <f aca="false">IF(B5="",0,IFERROR(INDEX(Paramètres!$D$5:$D$9,MATCH(F5,Paramètres!$B$5:$B$9,0)),0))</f>
        <v>1</v>
      </c>
      <c r="M5" s="26" t="str">
        <f aca="false">IF(OR(B5="",J5="",F5=Paramètres!$B$9),"",J5-Paramètres!$C$12)</f>
        <v/>
      </c>
      <c r="N5" s="27" t="str">
        <f aca="false">IF(B5="","",IF(F5=Paramètres!$B$9,"✔ Terminé",IF(J5="","",IF(J5&lt;Paramètres!$C$12,"⚠ En retard",IF(J5-Paramètres!$C$12&lt;=Paramètres!$C$13,"⏰ Bientôt","OK")))))</f>
        <v>✔ Terminé</v>
      </c>
      <c r="O5" s="26" t="n">
        <f aca="false">IF(OR(B5="",I5=""),"",IF(K5&lt;&gt;"",K5-I5,IF(F5=Paramètres!$B$9,"",Paramètres!$C$12-I5)))</f>
        <v>3</v>
      </c>
      <c r="P5" s="26" t="n">
        <f aca="false">IF(OR(B5="",H5=""),"",IF(K5&lt;&gt;"",K5-H5,Paramètres!$C$12-H5))</f>
        <v>5</v>
      </c>
      <c r="Q5" s="28" t="n">
        <f aca="false">IF(B5="","",IFERROR(MATCH(E5,Paramètres!$G$5:$G$7,0),99))</f>
        <v>1</v>
      </c>
      <c r="R5" s="28" t="n">
        <f aca="false">IF(B5="","",IF(OR(Kanban!$C$3="Tous",D5=Kanban!$C$3),1,0))</f>
        <v>1</v>
      </c>
      <c r="S5" s="28" t="n">
        <f aca="false">IF(R5=1,COUNTIFS($F$5:$F$104,F5,$R$5:$R$104,1,$Q$5:$Q$104,"&lt;"&amp;Q5)+COUNTIFS($F$5:F5,F5,$R$5:R5,1,$Q$5:Q5,Q5),"")</f>
        <v>1</v>
      </c>
      <c r="T5" s="28" t="str">
        <f aca="false">IF(S5="","",F5&amp;"|"&amp;S5)</f>
        <v>Terminé|1</v>
      </c>
      <c r="U5" s="29" t="str">
        <f aca="false">IF(S5="","",A5&amp;"  "&amp;B5&amp;CHAR(10)&amp;"👤 "&amp;D5&amp;"   📅 "&amp;IF(J5="","—",TEXT(DAY(J5),"00")&amp;"/"&amp;TEXT(MONTH(J5),"00"))&amp;CHAR(10)&amp;IF(E5="Haute","🔴 ",IF(E5="Moyenne","🟠 ","🟢 "))&amp;E5&amp;IF(N5="⚠ En retard","   ⚠ En retard",""))</f>
        <v>T-001  Définir le périmètre
👤 Alice   📅 23/09
🔴 Haute</v>
      </c>
    </row>
    <row r="6" customFormat="false" ht="35.05" hidden="false" customHeight="false" outlineLevel="0" collapsed="false">
      <c r="A6" s="22" t="str">
        <f aca="false">IF(B6="","","T-"&amp;TEXT(ROW()-4,"000"))</f>
        <v>T-002</v>
      </c>
      <c r="B6" s="23" t="s">
        <v>32</v>
      </c>
      <c r="C6" s="23" t="s">
        <v>28</v>
      </c>
      <c r="D6" s="23" t="s">
        <v>33</v>
      </c>
      <c r="E6" s="23" t="s">
        <v>34</v>
      </c>
      <c r="F6" s="23" t="s">
        <v>31</v>
      </c>
      <c r="G6" s="23" t="n">
        <v>3</v>
      </c>
      <c r="H6" s="24" t="n">
        <v>46278</v>
      </c>
      <c r="I6" s="24" t="n">
        <v>46281</v>
      </c>
      <c r="J6" s="24" t="n">
        <v>46284</v>
      </c>
      <c r="K6" s="24" t="n">
        <v>46284</v>
      </c>
      <c r="L6" s="25" t="n">
        <f aca="false">IF(B6="",0,IFERROR(INDEX(Paramètres!$D$5:$D$9,MATCH(F6,Paramètres!$B$5:$B$9,0)),0))</f>
        <v>1</v>
      </c>
      <c r="M6" s="26" t="str">
        <f aca="false">IF(OR(B6="",J6="",F6=Paramètres!$B$9),"",J6-Paramètres!$C$12)</f>
        <v/>
      </c>
      <c r="N6" s="27" t="str">
        <f aca="false">IF(B6="","",IF(F6=Paramètres!$B$9,"✔ Terminé",IF(J6="","",IF(J6&lt;Paramètres!$C$12,"⚠ En retard",IF(J6-Paramètres!$C$12&lt;=Paramètres!$C$13,"⏰ Bientôt","OK")))))</f>
        <v>✔ Terminé</v>
      </c>
      <c r="O6" s="26" t="n">
        <f aca="false">IF(OR(B6="",I6=""),"",IF(K6&lt;&gt;"",K6-I6,IF(F6=Paramètres!$B$9,"",Paramètres!$C$12-I6)))</f>
        <v>3</v>
      </c>
      <c r="P6" s="26" t="n">
        <f aca="false">IF(OR(B6="",H6=""),"",IF(K6&lt;&gt;"",K6-H6,Paramètres!$C$12-H6))</f>
        <v>6</v>
      </c>
      <c r="Q6" s="29" t="n">
        <f aca="false">IF(B6="","",IFERROR(MATCH(E6,Paramètres!$G$5:$G$7,0),99))</f>
        <v>2</v>
      </c>
      <c r="R6" s="29" t="n">
        <f aca="false">IF(B6="","",IF(OR(Kanban!$C$3="Tous",D6=Kanban!$C$3),1,0))</f>
        <v>1</v>
      </c>
      <c r="S6" s="29" t="n">
        <f aca="false">IF(R6=1,COUNTIFS($F$5:$F$104,F6,$R$5:$R$104,1,$Q$5:$Q$104,"&lt;"&amp;Q6)+COUNTIFS($F$5:F6,F6,$R$5:R6,1,$Q$5:Q6,Q6),"")</f>
        <v>6</v>
      </c>
      <c r="T6" s="29" t="str">
        <f aca="false">IF(S6="","",F6&amp;"|"&amp;S6)</f>
        <v>Terminé|6</v>
      </c>
      <c r="U6" s="29" t="str">
        <f aca="false">IF(S6="","",A6&amp;"  "&amp;B6&amp;CHAR(10)&amp;"👤 "&amp;D6&amp;"   📅 "&amp;IF(J6="","—",TEXT(DAY(J6),"00")&amp;"/"&amp;TEXT(MONTH(J6),"00"))&amp;CHAR(10)&amp;IF(E6="Haute","🔴 ",IF(E6="Moyenne","🟠 ","🟢 "))&amp;E6&amp;IF(N6="⚠ En retard","   ⚠ En retard",""))</f>
        <v>T-002  Réunion de lancement
👤 Karim   📅 19/09
🟠 Moyenne</v>
      </c>
    </row>
    <row r="7" customFormat="false" ht="35.05" hidden="false" customHeight="false" outlineLevel="0" collapsed="false">
      <c r="A7" s="22" t="str">
        <f aca="false">IF(B7="","","T-"&amp;TEXT(ROW()-4,"000"))</f>
        <v>T-003</v>
      </c>
      <c r="B7" s="23" t="s">
        <v>35</v>
      </c>
      <c r="C7" s="23" t="s">
        <v>36</v>
      </c>
      <c r="D7" s="23" t="s">
        <v>37</v>
      </c>
      <c r="E7" s="23" t="s">
        <v>34</v>
      </c>
      <c r="F7" s="23" t="s">
        <v>31</v>
      </c>
      <c r="G7" s="23" t="n">
        <v>12</v>
      </c>
      <c r="H7" s="24" t="n">
        <v>46280</v>
      </c>
      <c r="I7" s="24" t="n">
        <v>46282</v>
      </c>
      <c r="J7" s="24" t="n">
        <v>46293</v>
      </c>
      <c r="K7" s="24" t="n">
        <v>46292</v>
      </c>
      <c r="L7" s="25" t="n">
        <f aca="false">IF(B7="",0,IFERROR(INDEX(Paramètres!$D$5:$D$9,MATCH(F7,Paramètres!$B$5:$B$9,0)),0))</f>
        <v>1</v>
      </c>
      <c r="M7" s="26" t="str">
        <f aca="false">IF(OR(B7="",J7="",F7=Paramètres!$B$9),"",J7-Paramètres!$C$12)</f>
        <v/>
      </c>
      <c r="N7" s="27" t="str">
        <f aca="false">IF(B7="","",IF(F7=Paramètres!$B$9,"✔ Terminé",IF(J7="","",IF(J7&lt;Paramètres!$C$12,"⚠ En retard",IF(J7-Paramètres!$C$12&lt;=Paramètres!$C$13,"⏰ Bientôt","OK")))))</f>
        <v>✔ Terminé</v>
      </c>
      <c r="O7" s="26" t="n">
        <f aca="false">IF(OR(B7="",I7=""),"",IF(K7&lt;&gt;"",K7-I7,IF(F7=Paramètres!$B$9,"",Paramètres!$C$12-I7)))</f>
        <v>10</v>
      </c>
      <c r="P7" s="26" t="n">
        <f aca="false">IF(OR(B7="",H7=""),"",IF(K7&lt;&gt;"",K7-H7,Paramètres!$C$12-H7))</f>
        <v>12</v>
      </c>
      <c r="Q7" s="29" t="n">
        <f aca="false">IF(B7="","",IFERROR(MATCH(E7,Paramètres!$G$5:$G$7,0),99))</f>
        <v>2</v>
      </c>
      <c r="R7" s="29" t="n">
        <f aca="false">IF(B7="","",IF(OR(Kanban!$C$3="Tous",D7=Kanban!$C$3),1,0))</f>
        <v>1</v>
      </c>
      <c r="S7" s="29" t="n">
        <f aca="false">IF(R7=1,COUNTIFS($F$5:$F$104,F7,$R$5:$R$104,1,$Q$5:$Q$104,"&lt;"&amp;Q7)+COUNTIFS($F$5:F7,F7,$R$5:R7,1,$Q$5:Q7,Q7),"")</f>
        <v>7</v>
      </c>
      <c r="T7" s="29" t="str">
        <f aca="false">IF(S7="","",F7&amp;"|"&amp;S7)</f>
        <v>Terminé|7</v>
      </c>
      <c r="U7" s="29" t="str">
        <f aca="false">IF(S7="","",A7&amp;"  "&amp;B7&amp;CHAR(10)&amp;"👤 "&amp;D7&amp;"   📅 "&amp;IF(J7="","—",TEXT(DAY(J7),"00")&amp;"/"&amp;TEXT(MONTH(J7),"00"))&amp;CHAR(10)&amp;IF(E7="Haute","🔴 ",IF(E7="Moyenne","🟠 ","🟢 "))&amp;E7&amp;IF(N7="⚠ En retard","   ⚠ En retard",""))</f>
        <v>T-003  Étude de marché
👤 Sara   📅 28/09
🟠 Moyenne</v>
      </c>
    </row>
    <row r="8" customFormat="false" ht="35.05" hidden="false" customHeight="false" outlineLevel="0" collapsed="false">
      <c r="A8" s="22" t="str">
        <f aca="false">IF(B8="","","T-"&amp;TEXT(ROW()-4,"000"))</f>
        <v>T-004</v>
      </c>
      <c r="B8" s="23" t="s">
        <v>38</v>
      </c>
      <c r="C8" s="23" t="s">
        <v>39</v>
      </c>
      <c r="D8" s="23" t="s">
        <v>37</v>
      </c>
      <c r="E8" s="23" t="s">
        <v>30</v>
      </c>
      <c r="F8" s="23" t="s">
        <v>31</v>
      </c>
      <c r="G8" s="23" t="n">
        <v>10</v>
      </c>
      <c r="H8" s="24" t="n">
        <v>46283</v>
      </c>
      <c r="I8" s="24" t="n">
        <v>46286</v>
      </c>
      <c r="J8" s="24" t="n">
        <v>46296</v>
      </c>
      <c r="K8" s="24" t="n">
        <v>46296</v>
      </c>
      <c r="L8" s="25" t="n">
        <f aca="false">IF(B8="",0,IFERROR(INDEX(Paramètres!$D$5:$D$9,MATCH(F8,Paramètres!$B$5:$B$9,0)),0))</f>
        <v>1</v>
      </c>
      <c r="M8" s="26" t="str">
        <f aca="false">IF(OR(B8="",J8="",F8=Paramètres!$B$9),"",J8-Paramètres!$C$12)</f>
        <v/>
      </c>
      <c r="N8" s="27" t="str">
        <f aca="false">IF(B8="","",IF(F8=Paramètres!$B$9,"✔ Terminé",IF(J8="","",IF(J8&lt;Paramètres!$C$12,"⚠ En retard",IF(J8-Paramètres!$C$12&lt;=Paramètres!$C$13,"⏰ Bientôt","OK")))))</f>
        <v>✔ Terminé</v>
      </c>
      <c r="O8" s="26" t="n">
        <f aca="false">IF(OR(B8="",I8=""),"",IF(K8&lt;&gt;"",K8-I8,IF(F8=Paramètres!$B$9,"",Paramètres!$C$12-I8)))</f>
        <v>10</v>
      </c>
      <c r="P8" s="26" t="n">
        <f aca="false">IF(OR(B8="",H8=""),"",IF(K8&lt;&gt;"",K8-H8,Paramètres!$C$12-H8))</f>
        <v>13</v>
      </c>
      <c r="Q8" s="29" t="n">
        <f aca="false">IF(B8="","",IFERROR(MATCH(E8,Paramètres!$G$5:$G$7,0),99))</f>
        <v>1</v>
      </c>
      <c r="R8" s="29" t="n">
        <f aca="false">IF(B8="","",IF(OR(Kanban!$C$3="Tous",D8=Kanban!$C$3),1,0))</f>
        <v>1</v>
      </c>
      <c r="S8" s="29" t="n">
        <f aca="false">IF(R8=1,COUNTIFS($F$5:$F$104,F8,$R$5:$R$104,1,$Q$5:$Q$104,"&lt;"&amp;Q8)+COUNTIFS($F$5:F8,F8,$R$5:R8,1,$Q$5:Q8,Q8),"")</f>
        <v>2</v>
      </c>
      <c r="T8" s="29" t="str">
        <f aca="false">IF(S8="","",F8&amp;"|"&amp;S8)</f>
        <v>Terminé|2</v>
      </c>
      <c r="U8" s="29" t="str">
        <f aca="false">IF(S8="","",A8&amp;"  "&amp;B8&amp;CHAR(10)&amp;"👤 "&amp;D8&amp;"   📅 "&amp;IF(J8="","—",TEXT(DAY(J8),"00")&amp;"/"&amp;TEXT(MONTH(J8),"00"))&amp;CHAR(10)&amp;IF(E8="Haute","🔴 ",IF(E8="Moyenne","🟠 ","🟢 "))&amp;E8&amp;IF(N8="⚠ En retard","   ⚠ En retard",""))</f>
        <v>T-004  Charte graphique
👤 Sara   📅 01/10
🔴 Haute</v>
      </c>
    </row>
    <row r="9" customFormat="false" ht="35.05" hidden="false" customHeight="false" outlineLevel="0" collapsed="false">
      <c r="A9" s="22" t="str">
        <f aca="false">IF(B9="","","T-"&amp;TEXT(ROW()-4,"000"))</f>
        <v>T-005</v>
      </c>
      <c r="B9" s="23" t="s">
        <v>40</v>
      </c>
      <c r="C9" s="23" t="s">
        <v>41</v>
      </c>
      <c r="D9" s="23" t="s">
        <v>42</v>
      </c>
      <c r="E9" s="23" t="s">
        <v>30</v>
      </c>
      <c r="F9" s="23" t="s">
        <v>31</v>
      </c>
      <c r="G9" s="23" t="n">
        <v>8</v>
      </c>
      <c r="H9" s="24" t="n">
        <v>46284</v>
      </c>
      <c r="I9" s="24" t="n">
        <v>46288</v>
      </c>
      <c r="J9" s="24" t="n">
        <v>46298</v>
      </c>
      <c r="K9" s="24" t="n">
        <v>46299</v>
      </c>
      <c r="L9" s="25" t="n">
        <f aca="false">IF(B9="",0,IFERROR(INDEX(Paramètres!$D$5:$D$9,MATCH(F9,Paramètres!$B$5:$B$9,0)),0))</f>
        <v>1</v>
      </c>
      <c r="M9" s="26" t="str">
        <f aca="false">IF(OR(B9="",J9="",F9=Paramètres!$B$9),"",J9-Paramètres!$C$12)</f>
        <v/>
      </c>
      <c r="N9" s="27" t="str">
        <f aca="false">IF(B9="","",IF(F9=Paramètres!$B$9,"✔ Terminé",IF(J9="","",IF(J9&lt;Paramètres!$C$12,"⚠ En retard",IF(J9-Paramètres!$C$12&lt;=Paramètres!$C$13,"⏰ Bientôt","OK")))))</f>
        <v>✔ Terminé</v>
      </c>
      <c r="O9" s="26" t="n">
        <f aca="false">IF(OR(B9="",I9=""),"",IF(K9&lt;&gt;"",K9-I9,IF(F9=Paramètres!$B$9,"",Paramètres!$C$12-I9)))</f>
        <v>11</v>
      </c>
      <c r="P9" s="26" t="n">
        <f aca="false">IF(OR(B9="",H9=""),"",IF(K9&lt;&gt;"",K9-H9,Paramètres!$C$12-H9))</f>
        <v>15</v>
      </c>
      <c r="Q9" s="29" t="n">
        <f aca="false">IF(B9="","",IFERROR(MATCH(E9,Paramètres!$G$5:$G$7,0),99))</f>
        <v>1</v>
      </c>
      <c r="R9" s="29" t="n">
        <f aca="false">IF(B9="","",IF(OR(Kanban!$C$3="Tous",D9=Kanban!$C$3),1,0))</f>
        <v>1</v>
      </c>
      <c r="S9" s="29" t="n">
        <f aca="false">IF(R9=1,COUNTIFS($F$5:$F$104,F9,$R$5:$R$104,1,$Q$5:$Q$104,"&lt;"&amp;Q9)+COUNTIFS($F$5:F9,F9,$R$5:R9,1,$Q$5:Q9,Q9),"")</f>
        <v>3</v>
      </c>
      <c r="T9" s="29" t="str">
        <f aca="false">IF(S9="","",F9&amp;"|"&amp;S9)</f>
        <v>Terminé|3</v>
      </c>
      <c r="U9" s="29" t="str">
        <f aca="false">IF(S9="","",A9&amp;"  "&amp;B9&amp;CHAR(10)&amp;"👤 "&amp;D9&amp;"   📅 "&amp;IF(J9="","—",TEXT(DAY(J9),"00")&amp;"/"&amp;TEXT(MONTH(J9),"00"))&amp;CHAR(10)&amp;IF(E9="Haute","🔴 ",IF(E9="Moyenne","🟠 ","🟢 "))&amp;E9&amp;IF(N9="⚠ En retard","   ⚠ En retard",""))</f>
        <v>T-005  Choix de l'architecture
👤 Yacine   📅 03/10
🔴 Haute</v>
      </c>
    </row>
    <row r="10" customFormat="false" ht="35.05" hidden="false" customHeight="false" outlineLevel="0" collapsed="false">
      <c r="A10" s="22" t="str">
        <f aca="false">IF(B10="","","T-"&amp;TEXT(ROW()-4,"000"))</f>
        <v>T-006</v>
      </c>
      <c r="B10" s="23" t="s">
        <v>43</v>
      </c>
      <c r="C10" s="23" t="s">
        <v>39</v>
      </c>
      <c r="D10" s="23" t="s">
        <v>37</v>
      </c>
      <c r="E10" s="23" t="s">
        <v>30</v>
      </c>
      <c r="F10" s="23" t="s">
        <v>31</v>
      </c>
      <c r="G10" s="23" t="n">
        <v>14</v>
      </c>
      <c r="H10" s="24" t="n">
        <v>46288</v>
      </c>
      <c r="I10" s="24" t="n">
        <v>46293</v>
      </c>
      <c r="J10" s="24" t="n">
        <v>46303</v>
      </c>
      <c r="K10" s="24" t="n">
        <v>46304</v>
      </c>
      <c r="L10" s="25" t="n">
        <f aca="false">IF(B10="",0,IFERROR(INDEX(Paramètres!$D$5:$D$9,MATCH(F10,Paramètres!$B$5:$B$9,0)),0))</f>
        <v>1</v>
      </c>
      <c r="M10" s="26" t="str">
        <f aca="false">IF(OR(B10="",J10="",F10=Paramètres!$B$9),"",J10-Paramètres!$C$12)</f>
        <v/>
      </c>
      <c r="N10" s="27" t="str">
        <f aca="false">IF(B10="","",IF(F10=Paramètres!$B$9,"✔ Terminé",IF(J10="","",IF(J10&lt;Paramètres!$C$12,"⚠ En retard",IF(J10-Paramètres!$C$12&lt;=Paramètres!$C$13,"⏰ Bientôt","OK")))))</f>
        <v>✔ Terminé</v>
      </c>
      <c r="O10" s="26" t="n">
        <f aca="false">IF(OR(B10="",I10=""),"",IF(K10&lt;&gt;"",K10-I10,IF(F10=Paramètres!$B$9,"",Paramètres!$C$12-I10)))</f>
        <v>11</v>
      </c>
      <c r="P10" s="26" t="n">
        <f aca="false">IF(OR(B10="",H10=""),"",IF(K10&lt;&gt;"",K10-H10,Paramètres!$C$12-H10))</f>
        <v>16</v>
      </c>
      <c r="Q10" s="29" t="n">
        <f aca="false">IF(B10="","",IFERROR(MATCH(E10,Paramètres!$G$5:$G$7,0),99))</f>
        <v>1</v>
      </c>
      <c r="R10" s="29" t="n">
        <f aca="false">IF(B10="","",IF(OR(Kanban!$C$3="Tous",D10=Kanban!$C$3),1,0))</f>
        <v>1</v>
      </c>
      <c r="S10" s="29" t="n">
        <f aca="false">IF(R10=1,COUNTIFS($F$5:$F$104,F10,$R$5:$R$104,1,$Q$5:$Q$104,"&lt;"&amp;Q10)+COUNTIFS($F$5:F10,F10,$R$5:R10,1,$Q$5:Q10,Q10),"")</f>
        <v>4</v>
      </c>
      <c r="T10" s="29" t="str">
        <f aca="false">IF(S10="","",F10&amp;"|"&amp;S10)</f>
        <v>Terminé|4</v>
      </c>
      <c r="U10" s="29" t="str">
        <f aca="false">IF(S10="","",A10&amp;"  "&amp;B10&amp;CHAR(10)&amp;"👤 "&amp;D10&amp;"   📅 "&amp;IF(J10="","—",TEXT(DAY(J10),"00")&amp;"/"&amp;TEXT(MONTH(J10),"00"))&amp;CHAR(10)&amp;IF(E10="Haute","🔴 ",IF(E10="Moyenne","🟠 ","🟢 "))&amp;E10&amp;IF(N10="⚠ En retard","   ⚠ En retard",""))</f>
        <v>T-006  Maquettes de l'interface
👤 Sara   📅 08/10
🔴 Haute</v>
      </c>
    </row>
    <row r="11" customFormat="false" ht="35.05" hidden="false" customHeight="false" outlineLevel="0" collapsed="false">
      <c r="A11" s="22" t="str">
        <f aca="false">IF(B11="","","T-"&amp;TEXT(ROW()-4,"000"))</f>
        <v>T-007</v>
      </c>
      <c r="B11" s="23" t="s">
        <v>44</v>
      </c>
      <c r="C11" s="23" t="s">
        <v>28</v>
      </c>
      <c r="D11" s="23" t="s">
        <v>29</v>
      </c>
      <c r="E11" s="23" t="s">
        <v>30</v>
      </c>
      <c r="F11" s="23" t="s">
        <v>31</v>
      </c>
      <c r="G11" s="23" t="n">
        <v>10</v>
      </c>
      <c r="H11" s="24" t="n">
        <v>46288</v>
      </c>
      <c r="I11" s="24" t="n">
        <v>46294</v>
      </c>
      <c r="J11" s="24" t="n">
        <v>46304</v>
      </c>
      <c r="K11" s="24" t="n">
        <v>46306</v>
      </c>
      <c r="L11" s="25" t="n">
        <f aca="false">IF(B11="",0,IFERROR(INDEX(Paramètres!$D$5:$D$9,MATCH(F11,Paramètres!$B$5:$B$9,0)),0))</f>
        <v>1</v>
      </c>
      <c r="M11" s="26" t="str">
        <f aca="false">IF(OR(B11="",J11="",F11=Paramètres!$B$9),"",J11-Paramètres!$C$12)</f>
        <v/>
      </c>
      <c r="N11" s="27" t="str">
        <f aca="false">IF(B11="","",IF(F11=Paramètres!$B$9,"✔ Terminé",IF(J11="","",IF(J11&lt;Paramètres!$C$12,"⚠ En retard",IF(J11-Paramètres!$C$12&lt;=Paramètres!$C$13,"⏰ Bientôt","OK")))))</f>
        <v>✔ Terminé</v>
      </c>
      <c r="O11" s="26" t="n">
        <f aca="false">IF(OR(B11="",I11=""),"",IF(K11&lt;&gt;"",K11-I11,IF(F11=Paramètres!$B$9,"",Paramètres!$C$12-I11)))</f>
        <v>12</v>
      </c>
      <c r="P11" s="26" t="n">
        <f aca="false">IF(OR(B11="",H11=""),"",IF(K11&lt;&gt;"",K11-H11,Paramètres!$C$12-H11))</f>
        <v>18</v>
      </c>
      <c r="Q11" s="29" t="n">
        <f aca="false">IF(B11="","",IFERROR(MATCH(E11,Paramètres!$G$5:$G$7,0),99))</f>
        <v>1</v>
      </c>
      <c r="R11" s="29" t="n">
        <f aca="false">IF(B11="","",IF(OR(Kanban!$C$3="Tous",D11=Kanban!$C$3),1,0))</f>
        <v>1</v>
      </c>
      <c r="S11" s="29" t="n">
        <f aca="false">IF(R11=1,COUNTIFS($F$5:$F$104,F11,$R$5:$R$104,1,$Q$5:$Q$104,"&lt;"&amp;Q11)+COUNTIFS($F$5:F11,F11,$R$5:R11,1,$Q$5:Q11,Q11),"")</f>
        <v>5</v>
      </c>
      <c r="T11" s="29" t="str">
        <f aca="false">IF(S11="","",F11&amp;"|"&amp;S11)</f>
        <v>Terminé|5</v>
      </c>
      <c r="U11" s="29" t="str">
        <f aca="false">IF(S11="","",A11&amp;"  "&amp;B11&amp;CHAR(10)&amp;"👤 "&amp;D11&amp;"   📅 "&amp;IF(J11="","—",TEXT(DAY(J11),"00")&amp;"/"&amp;TEXT(MONTH(J11),"00"))&amp;CHAR(10)&amp;IF(E11="Haute","🔴 ",IF(E11="Moyenne","🟠 ","🟢 "))&amp;E11&amp;IF(N11="⚠ En retard","   ⚠ En retard",""))</f>
        <v>T-007  Cahier des charges
👤 Alice   📅 09/10
🔴 Haute</v>
      </c>
    </row>
    <row r="12" customFormat="false" ht="35.05" hidden="false" customHeight="false" outlineLevel="0" collapsed="false">
      <c r="A12" s="22" t="str">
        <f aca="false">IF(B12="","","T-"&amp;TEXT(ROW()-4,"000"))</f>
        <v>T-008</v>
      </c>
      <c r="B12" s="23" t="s">
        <v>45</v>
      </c>
      <c r="C12" s="23" t="s">
        <v>41</v>
      </c>
      <c r="D12" s="23" t="s">
        <v>42</v>
      </c>
      <c r="E12" s="23" t="s">
        <v>30</v>
      </c>
      <c r="F12" s="23" t="s">
        <v>46</v>
      </c>
      <c r="G12" s="23" t="n">
        <v>16</v>
      </c>
      <c r="H12" s="24" t="n">
        <v>46294</v>
      </c>
      <c r="I12" s="24" t="n">
        <v>46300</v>
      </c>
      <c r="J12" s="24" t="n">
        <v>46310</v>
      </c>
      <c r="K12" s="24"/>
      <c r="L12" s="25" t="n">
        <f aca="false">IF(B12="",0,IFERROR(INDEX(Paramètres!$D$5:$D$9,MATCH(F12,Paramètres!$B$5:$B$9,0)),0))</f>
        <v>0.9</v>
      </c>
      <c r="M12" s="26" t="n">
        <f aca="false">IF(OR(B12="",J12="",F12=Paramètres!$B$9),"",J12-Paramètres!$C$12)</f>
        <v>2</v>
      </c>
      <c r="N12" s="27" t="str">
        <f aca="false">IF(B12="","",IF(F12=Paramètres!$B$9,"✔ Terminé",IF(J12="","",IF(J12&lt;Paramètres!$C$12,"⚠ En retard",IF(J12-Paramètres!$C$12&lt;=Paramètres!$C$13,"⏰ Bientôt","OK")))))</f>
        <v>⏰ Bientôt</v>
      </c>
      <c r="O12" s="26" t="n">
        <f aca="false">IF(OR(B12="",I12=""),"",IF(K12&lt;&gt;"",K12-I12,IF(F12=Paramètres!$B$9,"",Paramètres!$C$12-I12)))</f>
        <v>8</v>
      </c>
      <c r="P12" s="26" t="n">
        <f aca="false">IF(OR(B12="",H12=""),"",IF(K12&lt;&gt;"",K12-H12,Paramètres!$C$12-H12))</f>
        <v>14</v>
      </c>
      <c r="Q12" s="29" t="n">
        <f aca="false">IF(B12="","",IFERROR(MATCH(E12,Paramètres!$G$5:$G$7,0),99))</f>
        <v>1</v>
      </c>
      <c r="R12" s="29" t="n">
        <f aca="false">IF(B12="","",IF(OR(Kanban!$C$3="Tous",D12=Kanban!$C$3),1,0))</f>
        <v>1</v>
      </c>
      <c r="S12" s="29" t="n">
        <f aca="false">IF(R12=1,COUNTIFS($F$5:$F$104,F12,$R$5:$R$104,1,$Q$5:$Q$104,"&lt;"&amp;Q12)+COUNTIFS($F$5:F12,F12,$R$5:R12,1,$Q$5:Q12,Q12),"")</f>
        <v>1</v>
      </c>
      <c r="T12" s="29" t="str">
        <f aca="false">IF(S12="","",F12&amp;"|"&amp;S12)</f>
        <v>En revue|1</v>
      </c>
      <c r="U12" s="29" t="str">
        <f aca="false">IF(S12="","",A12&amp;"  "&amp;B12&amp;CHAR(10)&amp;"👤 "&amp;D12&amp;"   📅 "&amp;IF(J12="","—",TEXT(DAY(J12),"00")&amp;"/"&amp;TEXT(MONTH(J12),"00"))&amp;CHAR(10)&amp;IF(E12="Haute","🔴 ",IF(E12="Moyenne","🟠 ","🟢 "))&amp;E12&amp;IF(N12="⚠ En retard","   ⚠ En retard",""))</f>
        <v>T-008  Développer le module connexion
👤 Yacine   📅 15/10
🔴 Haute</v>
      </c>
    </row>
    <row r="13" customFormat="false" ht="35.05" hidden="false" customHeight="false" outlineLevel="0" collapsed="false">
      <c r="A13" s="22" t="str">
        <f aca="false">IF(B13="","","T-"&amp;TEXT(ROW()-4,"000"))</f>
        <v>T-009</v>
      </c>
      <c r="B13" s="23" t="s">
        <v>47</v>
      </c>
      <c r="C13" s="23" t="s">
        <v>28</v>
      </c>
      <c r="D13" s="23" t="s">
        <v>33</v>
      </c>
      <c r="E13" s="23" t="s">
        <v>34</v>
      </c>
      <c r="F13" s="23" t="s">
        <v>46</v>
      </c>
      <c r="G13" s="23" t="n">
        <v>4</v>
      </c>
      <c r="H13" s="24" t="n">
        <v>46296</v>
      </c>
      <c r="I13" s="24" t="n">
        <v>46302</v>
      </c>
      <c r="J13" s="24" t="n">
        <v>46307</v>
      </c>
      <c r="K13" s="24"/>
      <c r="L13" s="25" t="n">
        <f aca="false">IF(B13="",0,IFERROR(INDEX(Paramètres!$D$5:$D$9,MATCH(F13,Paramètres!$B$5:$B$9,0)),0))</f>
        <v>0.9</v>
      </c>
      <c r="M13" s="26" t="n">
        <f aca="false">IF(OR(B13="",J13="",F13=Paramètres!$B$9),"",J13-Paramètres!$C$12)</f>
        <v>-1</v>
      </c>
      <c r="N13" s="27" t="str">
        <f aca="false">IF(B13="","",IF(F13=Paramètres!$B$9,"✔ Terminé",IF(J13="","",IF(J13&lt;Paramètres!$C$12,"⚠ En retard",IF(J13-Paramètres!$C$12&lt;=Paramètres!$C$13,"⏰ Bientôt","OK")))))</f>
        <v>⚠ En retard</v>
      </c>
      <c r="O13" s="26" t="n">
        <f aca="false">IF(OR(B13="",I13=""),"",IF(K13&lt;&gt;"",K13-I13,IF(F13=Paramètres!$B$9,"",Paramètres!$C$12-I13)))</f>
        <v>6</v>
      </c>
      <c r="P13" s="26" t="n">
        <f aca="false">IF(OR(B13="",H13=""),"",IF(K13&lt;&gt;"",K13-H13,Paramètres!$C$12-H13))</f>
        <v>12</v>
      </c>
      <c r="Q13" s="29" t="n">
        <f aca="false">IF(B13="","",IFERROR(MATCH(E13,Paramètres!$G$5:$G$7,0),99))</f>
        <v>2</v>
      </c>
      <c r="R13" s="29" t="n">
        <f aca="false">IF(B13="","",IF(OR(Kanban!$C$3="Tous",D13=Kanban!$C$3),1,0))</f>
        <v>1</v>
      </c>
      <c r="S13" s="29" t="n">
        <f aca="false">IF(R13=1,COUNTIFS($F$5:$F$104,F13,$R$5:$R$104,1,$Q$5:$Q$104,"&lt;"&amp;Q13)+COUNTIFS($F$5:F13,F13,$R$5:R13,1,$Q$5:Q13,Q13),"")</f>
        <v>2</v>
      </c>
      <c r="T13" s="29" t="str">
        <f aca="false">IF(S13="","",F13&amp;"|"&amp;S13)</f>
        <v>En revue|2</v>
      </c>
      <c r="U13" s="29" t="str">
        <f aca="false">IF(S13="","",A13&amp;"  "&amp;B13&amp;CHAR(10)&amp;"👤 "&amp;D13&amp;"   📅 "&amp;IF(J13="","—",TEXT(DAY(J13),"00")&amp;"/"&amp;TEXT(MONTH(J13),"00"))&amp;CHAR(10)&amp;IF(E13="Haute","🔴 ",IF(E13="Moyenne","🟠 ","🟢 "))&amp;E13&amp;IF(N13="⚠ En retard","   ⚠ En retard",""))</f>
        <v>T-009  Valider le budget
👤 Karim   📅 12/10
🟠 Moyenne   ⚠ En retard</v>
      </c>
    </row>
    <row r="14" customFormat="false" ht="35.05" hidden="false" customHeight="false" outlineLevel="0" collapsed="false">
      <c r="A14" s="22" t="str">
        <f aca="false">IF(B14="","","T-"&amp;TEXT(ROW()-4,"000"))</f>
        <v>T-010</v>
      </c>
      <c r="B14" s="23" t="s">
        <v>48</v>
      </c>
      <c r="C14" s="23" t="s">
        <v>41</v>
      </c>
      <c r="D14" s="23" t="s">
        <v>42</v>
      </c>
      <c r="E14" s="23" t="s">
        <v>30</v>
      </c>
      <c r="F14" s="23" t="s">
        <v>49</v>
      </c>
      <c r="G14" s="23" t="n">
        <v>20</v>
      </c>
      <c r="H14" s="24" t="n">
        <v>46298</v>
      </c>
      <c r="I14" s="24" t="n">
        <v>46304</v>
      </c>
      <c r="J14" s="24" t="n">
        <v>46315</v>
      </c>
      <c r="K14" s="24"/>
      <c r="L14" s="25" t="n">
        <f aca="false">IF(B14="",0,IFERROR(INDEX(Paramètres!$D$5:$D$9,MATCH(F14,Paramètres!$B$5:$B$9,0)),0))</f>
        <v>0.5</v>
      </c>
      <c r="M14" s="26" t="n">
        <f aca="false">IF(OR(B14="",J14="",F14=Paramètres!$B$9),"",J14-Paramètres!$C$12)</f>
        <v>7</v>
      </c>
      <c r="N14" s="27" t="str">
        <f aca="false">IF(B14="","",IF(F14=Paramètres!$B$9,"✔ Terminé",IF(J14="","",IF(J14&lt;Paramètres!$C$12,"⚠ En retard",IF(J14-Paramètres!$C$12&lt;=Paramètres!$C$13,"⏰ Bientôt","OK")))))</f>
        <v>OK</v>
      </c>
      <c r="O14" s="26" t="n">
        <f aca="false">IF(OR(B14="",I14=""),"",IF(K14&lt;&gt;"",K14-I14,IF(F14=Paramètres!$B$9,"",Paramètres!$C$12-I14)))</f>
        <v>4</v>
      </c>
      <c r="P14" s="26" t="n">
        <f aca="false">IF(OR(B14="",H14=""),"",IF(K14&lt;&gt;"",K14-H14,Paramètres!$C$12-H14))</f>
        <v>10</v>
      </c>
      <c r="Q14" s="29" t="n">
        <f aca="false">IF(B14="","",IFERROR(MATCH(E14,Paramètres!$G$5:$G$7,0),99))</f>
        <v>1</v>
      </c>
      <c r="R14" s="29" t="n">
        <f aca="false">IF(B14="","",IF(OR(Kanban!$C$3="Tous",D14=Kanban!$C$3),1,0))</f>
        <v>1</v>
      </c>
      <c r="S14" s="29" t="n">
        <f aca="false">IF(R14=1,COUNTIFS($F$5:$F$104,F14,$R$5:$R$104,1,$Q$5:$Q$104,"&lt;"&amp;Q14)+COUNTIFS($F$5:F14,F14,$R$5:R14,1,$Q$5:Q14,Q14),"")</f>
        <v>1</v>
      </c>
      <c r="T14" s="29" t="str">
        <f aca="false">IF(S14="","",F14&amp;"|"&amp;S14)</f>
        <v>En cours|1</v>
      </c>
      <c r="U14" s="29" t="str">
        <f aca="false">IF(S14="","",A14&amp;"  "&amp;B14&amp;CHAR(10)&amp;"👤 "&amp;D14&amp;"   📅 "&amp;IF(J14="","—",TEXT(DAY(J14),"00")&amp;"/"&amp;TEXT(MONTH(J14),"00"))&amp;CHAR(10)&amp;IF(E14="Haute","🔴 ",IF(E14="Moyenne","🟠 ","🟢 "))&amp;E14&amp;IF(N14="⚠ En retard","   ⚠ En retard",""))</f>
        <v>T-010  Développer le tableau de bord
👤 Yacine   📅 20/10
🔴 Haute</v>
      </c>
    </row>
    <row r="15" customFormat="false" ht="35.05" hidden="false" customHeight="false" outlineLevel="0" collapsed="false">
      <c r="A15" s="22" t="str">
        <f aca="false">IF(B15="","","T-"&amp;TEXT(ROW()-4,"000"))</f>
        <v>T-011</v>
      </c>
      <c r="B15" s="23" t="s">
        <v>50</v>
      </c>
      <c r="C15" s="23" t="s">
        <v>36</v>
      </c>
      <c r="D15" s="23" t="s">
        <v>37</v>
      </c>
      <c r="E15" s="23" t="s">
        <v>34</v>
      </c>
      <c r="F15" s="23" t="s">
        <v>49</v>
      </c>
      <c r="G15" s="23" t="n">
        <v>8</v>
      </c>
      <c r="H15" s="24" t="n">
        <v>46299</v>
      </c>
      <c r="I15" s="24" t="n">
        <v>46305</v>
      </c>
      <c r="J15" s="24" t="n">
        <v>46311</v>
      </c>
      <c r="K15" s="24"/>
      <c r="L15" s="25" t="n">
        <f aca="false">IF(B15="",0,IFERROR(INDEX(Paramètres!$D$5:$D$9,MATCH(F15,Paramètres!$B$5:$B$9,0)),0))</f>
        <v>0.5</v>
      </c>
      <c r="M15" s="26" t="n">
        <f aca="false">IF(OR(B15="",J15="",F15=Paramètres!$B$9),"",J15-Paramètres!$C$12)</f>
        <v>3</v>
      </c>
      <c r="N15" s="27" t="str">
        <f aca="false">IF(B15="","",IF(F15=Paramètres!$B$9,"✔ Terminé",IF(J15="","",IF(J15&lt;Paramètres!$C$12,"⚠ En retard",IF(J15-Paramètres!$C$12&lt;=Paramètres!$C$13,"⏰ Bientôt","OK")))))</f>
        <v>⏰ Bientôt</v>
      </c>
      <c r="O15" s="26" t="n">
        <f aca="false">IF(OR(B15="",I15=""),"",IF(K15&lt;&gt;"",K15-I15,IF(F15=Paramètres!$B$9,"",Paramètres!$C$12-I15)))</f>
        <v>3</v>
      </c>
      <c r="P15" s="26" t="n">
        <f aca="false">IF(OR(B15="",H15=""),"",IF(K15&lt;&gt;"",K15-H15,Paramètres!$C$12-H15))</f>
        <v>9</v>
      </c>
      <c r="Q15" s="29" t="n">
        <f aca="false">IF(B15="","",IFERROR(MATCH(E15,Paramètres!$G$5:$G$7,0),99))</f>
        <v>2</v>
      </c>
      <c r="R15" s="29" t="n">
        <f aca="false">IF(B15="","",IF(OR(Kanban!$C$3="Tous",D15=Kanban!$C$3),1,0))</f>
        <v>1</v>
      </c>
      <c r="S15" s="29" t="n">
        <f aca="false">IF(R15=1,COUNTIFS($F$5:$F$104,F15,$R$5:$R$104,1,$Q$5:$Q$104,"&lt;"&amp;Q15)+COUNTIFS($F$5:F15,F15,$R$5:R15,1,$Q$5:Q15,Q15),"")</f>
        <v>2</v>
      </c>
      <c r="T15" s="29" t="str">
        <f aca="false">IF(S15="","",F15&amp;"|"&amp;S15)</f>
        <v>En cours|2</v>
      </c>
      <c r="U15" s="29" t="str">
        <f aca="false">IF(S15="","",A15&amp;"  "&amp;B15&amp;CHAR(10)&amp;"👤 "&amp;D15&amp;"   📅 "&amp;IF(J15="","—",TEXT(DAY(J15),"00")&amp;"/"&amp;TEXT(MONTH(J15),"00"))&amp;CHAR(10)&amp;IF(E15="Haute","🔴 ",IF(E15="Moyenne","🟠 ","🟢 "))&amp;E15&amp;IF(N15="⚠ En retard","   ⚠ En retard",""))</f>
        <v>T-011  Plan de communication
👤 Sara   📅 16/10
🟠 Moyenne</v>
      </c>
    </row>
    <row r="16" customFormat="false" ht="35.05" hidden="false" customHeight="false" outlineLevel="0" collapsed="false">
      <c r="A16" s="22" t="str">
        <f aca="false">IF(B16="","","T-"&amp;TEXT(ROW()-4,"000"))</f>
        <v>T-012</v>
      </c>
      <c r="B16" s="23" t="s">
        <v>51</v>
      </c>
      <c r="C16" s="23" t="s">
        <v>28</v>
      </c>
      <c r="D16" s="23" t="s">
        <v>29</v>
      </c>
      <c r="E16" s="23" t="s">
        <v>52</v>
      </c>
      <c r="F16" s="23" t="s">
        <v>49</v>
      </c>
      <c r="G16" s="23" t="n">
        <v>12</v>
      </c>
      <c r="H16" s="24" t="n">
        <v>46300</v>
      </c>
      <c r="I16" s="24" t="n">
        <v>46306</v>
      </c>
      <c r="J16" s="24" t="n">
        <v>46306</v>
      </c>
      <c r="K16" s="24"/>
      <c r="L16" s="25" t="n">
        <f aca="false">IF(B16="",0,IFERROR(INDEX(Paramètres!$D$5:$D$9,MATCH(F16,Paramètres!$B$5:$B$9,0)),0))</f>
        <v>0.5</v>
      </c>
      <c r="M16" s="26" t="n">
        <f aca="false">IF(OR(B16="",J16="",F16=Paramètres!$B$9),"",J16-Paramètres!$C$12)</f>
        <v>-2</v>
      </c>
      <c r="N16" s="27" t="str">
        <f aca="false">IF(B16="","",IF(F16=Paramètres!$B$9,"✔ Terminé",IF(J16="","",IF(J16&lt;Paramètres!$C$12,"⚠ En retard",IF(J16-Paramètres!$C$12&lt;=Paramètres!$C$13,"⏰ Bientôt","OK")))))</f>
        <v>⚠ En retard</v>
      </c>
      <c r="O16" s="26" t="n">
        <f aca="false">IF(OR(B16="",I16=""),"",IF(K16&lt;&gt;"",K16-I16,IF(F16=Paramètres!$B$9,"",Paramètres!$C$12-I16)))</f>
        <v>2</v>
      </c>
      <c r="P16" s="26" t="n">
        <f aca="false">IF(OR(B16="",H16=""),"",IF(K16&lt;&gt;"",K16-H16,Paramètres!$C$12-H16))</f>
        <v>8</v>
      </c>
      <c r="Q16" s="29" t="n">
        <f aca="false">IF(B16="","",IFERROR(MATCH(E16,Paramètres!$G$5:$G$7,0),99))</f>
        <v>3</v>
      </c>
      <c r="R16" s="29" t="n">
        <f aca="false">IF(B16="","",IF(OR(Kanban!$C$3="Tous",D16=Kanban!$C$3),1,0))</f>
        <v>1</v>
      </c>
      <c r="S16" s="29" t="n">
        <f aca="false">IF(R16=1,COUNTIFS($F$5:$F$104,F16,$R$5:$R$104,1,$Q$5:$Q$104,"&lt;"&amp;Q16)+COUNTIFS($F$5:F16,F16,$R$5:R16,1,$Q$5:Q16,Q16),"")</f>
        <v>3</v>
      </c>
      <c r="T16" s="29" t="str">
        <f aca="false">IF(S16="","",F16&amp;"|"&amp;S16)</f>
        <v>En cours|3</v>
      </c>
      <c r="U16" s="29" t="str">
        <f aca="false">IF(S16="","",A16&amp;"  "&amp;B16&amp;CHAR(10)&amp;"👤 "&amp;D16&amp;"   📅 "&amp;IF(J16="","—",TEXT(DAY(J16),"00")&amp;"/"&amp;TEXT(MONTH(J16),"00"))&amp;CHAR(10)&amp;IF(E16="Haute","🔴 ",IF(E16="Moyenne","🟠 ","🟢 "))&amp;E16&amp;IF(N16="⚠ En retard","   ⚠ En retard",""))</f>
        <v>T-012  Rédiger la documentation
👤 Alice   📅 11/10
🟢 Basse   ⚠ En retard</v>
      </c>
    </row>
    <row r="17" customFormat="false" ht="35.05" hidden="false" customHeight="false" outlineLevel="0" collapsed="false">
      <c r="A17" s="22" t="str">
        <f aca="false">IF(B17="","","T-"&amp;TEXT(ROW()-4,"000"))</f>
        <v>T-013</v>
      </c>
      <c r="B17" s="23" t="s">
        <v>53</v>
      </c>
      <c r="C17" s="23" t="s">
        <v>54</v>
      </c>
      <c r="D17" s="23" t="s">
        <v>33</v>
      </c>
      <c r="E17" s="23" t="s">
        <v>30</v>
      </c>
      <c r="F17" s="23" t="s">
        <v>55</v>
      </c>
      <c r="G17" s="23" t="n">
        <v>12</v>
      </c>
      <c r="H17" s="24" t="n">
        <v>46302</v>
      </c>
      <c r="I17" s="24"/>
      <c r="J17" s="24" t="n">
        <v>46318</v>
      </c>
      <c r="K17" s="24"/>
      <c r="L17" s="25" t="n">
        <f aca="false">IF(B17="",0,IFERROR(INDEX(Paramètres!$D$5:$D$9,MATCH(F17,Paramètres!$B$5:$B$9,0)),0))</f>
        <v>0</v>
      </c>
      <c r="M17" s="26" t="n">
        <f aca="false">IF(OR(B17="",J17="",F17=Paramètres!$B$9),"",J17-Paramètres!$C$12)</f>
        <v>10</v>
      </c>
      <c r="N17" s="27" t="str">
        <f aca="false">IF(B17="","",IF(F17=Paramètres!$B$9,"✔ Terminé",IF(J17="","",IF(J17&lt;Paramètres!$C$12,"⚠ En retard",IF(J17-Paramètres!$C$12&lt;=Paramètres!$C$13,"⏰ Bientôt","OK")))))</f>
        <v>OK</v>
      </c>
      <c r="O17" s="26" t="str">
        <f aca="false">IF(OR(B17="",I17=""),"",IF(K17&lt;&gt;"",K17-I17,IF(F17=Paramètres!$B$9,"",Paramètres!$C$12-I17)))</f>
        <v/>
      </c>
      <c r="P17" s="26" t="n">
        <f aca="false">IF(OR(B17="",H17=""),"",IF(K17&lt;&gt;"",K17-H17,Paramètres!$C$12-H17))</f>
        <v>6</v>
      </c>
      <c r="Q17" s="29" t="n">
        <f aca="false">IF(B17="","",IFERROR(MATCH(E17,Paramètres!$G$5:$G$7,0),99))</f>
        <v>1</v>
      </c>
      <c r="R17" s="29" t="n">
        <f aca="false">IF(B17="","",IF(OR(Kanban!$C$3="Tous",D17=Kanban!$C$3),1,0))</f>
        <v>1</v>
      </c>
      <c r="S17" s="29" t="n">
        <f aca="false">IF(R17=1,COUNTIFS($F$5:$F$104,F17,$R$5:$R$104,1,$Q$5:$Q$104,"&lt;"&amp;Q17)+COUNTIFS($F$5:F17,F17,$R$5:R17,1,$Q$5:Q17,Q17),"")</f>
        <v>1</v>
      </c>
      <c r="T17" s="29" t="str">
        <f aca="false">IF(S17="","",F17&amp;"|"&amp;S17)</f>
        <v>À faire|1</v>
      </c>
      <c r="U17" s="29" t="str">
        <f aca="false">IF(S17="","",A17&amp;"  "&amp;B17&amp;CHAR(10)&amp;"👤 "&amp;D17&amp;"   📅 "&amp;IF(J17="","—",TEXT(DAY(J17),"00")&amp;"/"&amp;TEXT(MONTH(J17),"00"))&amp;CHAR(10)&amp;IF(E17="Haute","🔴 ",IF(E17="Moyenne","🟠 ","🟢 "))&amp;E17&amp;IF(N17="⚠ En retard","   ⚠ En retard",""))</f>
        <v>T-013  Tests d'intégration
👤 Karim   📅 23/10
🔴 Haute</v>
      </c>
    </row>
    <row r="18" customFormat="false" ht="35.05" hidden="false" customHeight="false" outlineLevel="0" collapsed="false">
      <c r="A18" s="22" t="str">
        <f aca="false">IF(B18="","","T-"&amp;TEXT(ROW()-4,"000"))</f>
        <v>T-014</v>
      </c>
      <c r="B18" s="23" t="s">
        <v>56</v>
      </c>
      <c r="C18" s="23" t="s">
        <v>28</v>
      </c>
      <c r="D18" s="23" t="s">
        <v>33</v>
      </c>
      <c r="E18" s="23" t="s">
        <v>52</v>
      </c>
      <c r="F18" s="23" t="s">
        <v>55</v>
      </c>
      <c r="G18" s="23" t="n">
        <v>5</v>
      </c>
      <c r="H18" s="24" t="n">
        <v>46303</v>
      </c>
      <c r="I18" s="24"/>
      <c r="J18" s="24" t="n">
        <v>46322</v>
      </c>
      <c r="K18" s="24"/>
      <c r="L18" s="25" t="n">
        <f aca="false">IF(B18="",0,IFERROR(INDEX(Paramètres!$D$5:$D$9,MATCH(F18,Paramètres!$B$5:$B$9,0)),0))</f>
        <v>0</v>
      </c>
      <c r="M18" s="26" t="n">
        <f aca="false">IF(OR(B18="",J18="",F18=Paramètres!$B$9),"",J18-Paramètres!$C$12)</f>
        <v>14</v>
      </c>
      <c r="N18" s="27" t="str">
        <f aca="false">IF(B18="","",IF(F18=Paramètres!$B$9,"✔ Terminé",IF(J18="","",IF(J18&lt;Paramètres!$C$12,"⚠ En retard",IF(J18-Paramètres!$C$12&lt;=Paramètres!$C$13,"⏰ Bientôt","OK")))))</f>
        <v>OK</v>
      </c>
      <c r="O18" s="26" t="str">
        <f aca="false">IF(OR(B18="",I18=""),"",IF(K18&lt;&gt;"",K18-I18,IF(F18=Paramètres!$B$9,"",Paramètres!$C$12-I18)))</f>
        <v/>
      </c>
      <c r="P18" s="26" t="n">
        <f aca="false">IF(OR(B18="",H18=""),"",IF(K18&lt;&gt;"",K18-H18,Paramètres!$C$12-H18))</f>
        <v>5</v>
      </c>
      <c r="Q18" s="29" t="n">
        <f aca="false">IF(B18="","",IFERROR(MATCH(E18,Paramètres!$G$5:$G$7,0),99))</f>
        <v>3</v>
      </c>
      <c r="R18" s="29" t="n">
        <f aca="false">IF(B18="","",IF(OR(Kanban!$C$3="Tous",D18=Kanban!$C$3),1,0))</f>
        <v>1</v>
      </c>
      <c r="S18" s="29" t="n">
        <f aca="false">IF(R18=1,COUNTIFS($F$5:$F$104,F18,$R$5:$R$104,1,$Q$5:$Q$104,"&lt;"&amp;Q18)+COUNTIFS($F$5:F18,F18,$R$5:R18,1,$Q$5:Q18,Q18),"")</f>
        <v>4</v>
      </c>
      <c r="T18" s="29" t="str">
        <f aca="false">IF(S18="","",F18&amp;"|"&amp;S18)</f>
        <v>À faire|4</v>
      </c>
      <c r="U18" s="29" t="str">
        <f aca="false">IF(S18="","",A18&amp;"  "&amp;B18&amp;CHAR(10)&amp;"👤 "&amp;D18&amp;"   📅 "&amp;IF(J18="","—",TEXT(DAY(J18),"00")&amp;"/"&amp;TEXT(MONTH(J18),"00"))&amp;CHAR(10)&amp;IF(E18="Haute","🔴 ",IF(E18="Moyenne","🟠 ","🟢 "))&amp;E18&amp;IF(N18="⚠ En retard","   ⚠ En retard",""))</f>
        <v>T-014  Choisir les fournisseurs
👤 Karim   📅 27/10
🟢 Basse</v>
      </c>
    </row>
    <row r="19" customFormat="false" ht="35.05" hidden="false" customHeight="false" outlineLevel="0" collapsed="false">
      <c r="A19" s="22" t="str">
        <f aca="false">IF(B19="","","T-"&amp;TEXT(ROW()-4,"000"))</f>
        <v>T-015</v>
      </c>
      <c r="B19" s="23" t="s">
        <v>57</v>
      </c>
      <c r="C19" s="23" t="s">
        <v>36</v>
      </c>
      <c r="D19" s="23" t="s">
        <v>37</v>
      </c>
      <c r="E19" s="23" t="s">
        <v>34</v>
      </c>
      <c r="F19" s="23" t="s">
        <v>55</v>
      </c>
      <c r="G19" s="23" t="n">
        <v>10</v>
      </c>
      <c r="H19" s="24" t="n">
        <v>46304</v>
      </c>
      <c r="I19" s="24"/>
      <c r="J19" s="24" t="n">
        <v>46326</v>
      </c>
      <c r="K19" s="24"/>
      <c r="L19" s="25" t="n">
        <f aca="false">IF(B19="",0,IFERROR(INDEX(Paramètres!$D$5:$D$9,MATCH(F19,Paramètres!$B$5:$B$9,0)),0))</f>
        <v>0</v>
      </c>
      <c r="M19" s="26" t="n">
        <f aca="false">IF(OR(B19="",J19="",F19=Paramètres!$B$9),"",J19-Paramètres!$C$12)</f>
        <v>18</v>
      </c>
      <c r="N19" s="27" t="str">
        <f aca="false">IF(B19="","",IF(F19=Paramètres!$B$9,"✔ Terminé",IF(J19="","",IF(J19&lt;Paramètres!$C$12,"⚠ En retard",IF(J19-Paramètres!$C$12&lt;=Paramètres!$C$13,"⏰ Bientôt","OK")))))</f>
        <v>OK</v>
      </c>
      <c r="O19" s="26" t="str">
        <f aca="false">IF(OR(B19="",I19=""),"",IF(K19&lt;&gt;"",K19-I19,IF(F19=Paramètres!$B$9,"",Paramètres!$C$12-I19)))</f>
        <v/>
      </c>
      <c r="P19" s="26" t="n">
        <f aca="false">IF(OR(B19="",H19=""),"",IF(K19&lt;&gt;"",K19-H19,Paramètres!$C$12-H19))</f>
        <v>4</v>
      </c>
      <c r="Q19" s="29" t="n">
        <f aca="false">IF(B19="","",IFERROR(MATCH(E19,Paramètres!$G$5:$G$7,0),99))</f>
        <v>2</v>
      </c>
      <c r="R19" s="29" t="n">
        <f aca="false">IF(B19="","",IF(OR(Kanban!$C$3="Tous",D19=Kanban!$C$3),1,0))</f>
        <v>1</v>
      </c>
      <c r="S19" s="29" t="n">
        <f aca="false">IF(R19=1,COUNTIFS($F$5:$F$104,F19,$R$5:$R$104,1,$Q$5:$Q$104,"&lt;"&amp;Q19)+COUNTIFS($F$5:F19,F19,$R$5:R19,1,$Q$5:Q19,Q19),"")</f>
        <v>2</v>
      </c>
      <c r="T19" s="29" t="str">
        <f aca="false">IF(S19="","",F19&amp;"|"&amp;S19)</f>
        <v>À faire|2</v>
      </c>
      <c r="U19" s="29" t="str">
        <f aca="false">IF(S19="","",A19&amp;"  "&amp;B19&amp;CHAR(10)&amp;"👤 "&amp;D19&amp;"   📅 "&amp;IF(J19="","—",TEXT(DAY(J19),"00")&amp;"/"&amp;TEXT(MONTH(J19),"00"))&amp;CHAR(10)&amp;IF(E19="Haute","🔴 ",IF(E19="Moyenne","🟠 ","🟢 "))&amp;E19&amp;IF(N19="⚠ En retard","   ⚠ En retard",""))</f>
        <v>T-015  Campagne réseaux sociaux
👤 Sara   📅 31/10
🟠 Moyenne</v>
      </c>
    </row>
    <row r="20" customFormat="false" ht="35.05" hidden="false" customHeight="false" outlineLevel="0" collapsed="false">
      <c r="A20" s="22" t="str">
        <f aca="false">IF(B20="","","T-"&amp;TEXT(ROW()-4,"000"))</f>
        <v>T-016</v>
      </c>
      <c r="B20" s="23" t="s">
        <v>58</v>
      </c>
      <c r="C20" s="23" t="s">
        <v>54</v>
      </c>
      <c r="D20" s="23" t="s">
        <v>29</v>
      </c>
      <c r="E20" s="23" t="s">
        <v>34</v>
      </c>
      <c r="F20" s="23" t="s">
        <v>55</v>
      </c>
      <c r="G20" s="23" t="n">
        <v>8</v>
      </c>
      <c r="H20" s="24" t="n">
        <v>46305</v>
      </c>
      <c r="I20" s="24"/>
      <c r="J20" s="24" t="n">
        <v>46329</v>
      </c>
      <c r="K20" s="24"/>
      <c r="L20" s="25" t="n">
        <f aca="false">IF(B20="",0,IFERROR(INDEX(Paramètres!$D$5:$D$9,MATCH(F20,Paramètres!$B$5:$B$9,0)),0))</f>
        <v>0</v>
      </c>
      <c r="M20" s="26" t="n">
        <f aca="false">IF(OR(B20="",J20="",F20=Paramètres!$B$9),"",J20-Paramètres!$C$12)</f>
        <v>21</v>
      </c>
      <c r="N20" s="27" t="str">
        <f aca="false">IF(B20="","",IF(F20=Paramètres!$B$9,"✔ Terminé",IF(J20="","",IF(J20&lt;Paramètres!$C$12,"⚠ En retard",IF(J20-Paramètres!$C$12&lt;=Paramètres!$C$13,"⏰ Bientôt","OK")))))</f>
        <v>OK</v>
      </c>
      <c r="O20" s="26" t="str">
        <f aca="false">IF(OR(B20="",I20=""),"",IF(K20&lt;&gt;"",K20-I20,IF(F20=Paramètres!$B$9,"",Paramètres!$C$12-I20)))</f>
        <v/>
      </c>
      <c r="P20" s="26" t="n">
        <f aca="false">IF(OR(B20="",H20=""),"",IF(K20&lt;&gt;"",K20-H20,Paramètres!$C$12-H20))</f>
        <v>3</v>
      </c>
      <c r="Q20" s="29" t="n">
        <f aca="false">IF(B20="","",IFERROR(MATCH(E20,Paramètres!$G$5:$G$7,0),99))</f>
        <v>2</v>
      </c>
      <c r="R20" s="29" t="n">
        <f aca="false">IF(B20="","",IF(OR(Kanban!$C$3="Tous",D20=Kanban!$C$3),1,0))</f>
        <v>1</v>
      </c>
      <c r="S20" s="29" t="n">
        <f aca="false">IF(R20=1,COUNTIFS($F$5:$F$104,F20,$R$5:$R$104,1,$Q$5:$Q$104,"&lt;"&amp;Q20)+COUNTIFS($F$5:F20,F20,$R$5:R20,1,$Q$5:Q20,Q20),"")</f>
        <v>3</v>
      </c>
      <c r="T20" s="29" t="str">
        <f aca="false">IF(S20="","",F20&amp;"|"&amp;S20)</f>
        <v>À faire|3</v>
      </c>
      <c r="U20" s="29" t="str">
        <f aca="false">IF(S20="","",A20&amp;"  "&amp;B20&amp;CHAR(10)&amp;"👤 "&amp;D20&amp;"   📅 "&amp;IF(J20="","—",TEXT(DAY(J20),"00")&amp;"/"&amp;TEXT(MONTH(J20),"00"))&amp;CHAR(10)&amp;IF(E20="Haute","🔴 ",IF(E20="Moyenne","🟠 ","🟢 "))&amp;E20&amp;IF(N20="⚠ En retard","   ⚠ En retard",""))</f>
        <v>T-016  Former l'équipe
👤 Alice   📅 03/11
🟠 Moyenne</v>
      </c>
    </row>
    <row r="21" customFormat="false" ht="35.05" hidden="false" customHeight="false" outlineLevel="0" collapsed="false">
      <c r="A21" s="22" t="str">
        <f aca="false">IF(B21="","","T-"&amp;TEXT(ROW()-4,"000"))</f>
        <v>T-017</v>
      </c>
      <c r="B21" s="23" t="s">
        <v>59</v>
      </c>
      <c r="C21" s="23" t="s">
        <v>41</v>
      </c>
      <c r="D21" s="23" t="s">
        <v>42</v>
      </c>
      <c r="E21" s="23" t="s">
        <v>52</v>
      </c>
      <c r="F21" s="23" t="s">
        <v>60</v>
      </c>
      <c r="G21" s="23" t="n">
        <v>16</v>
      </c>
      <c r="H21" s="24" t="n">
        <v>46306</v>
      </c>
      <c r="I21" s="24"/>
      <c r="J21" s="24"/>
      <c r="K21" s="24"/>
      <c r="L21" s="25" t="n">
        <f aca="false">IF(B21="",0,IFERROR(INDEX(Paramètres!$D$5:$D$9,MATCH(F21,Paramètres!$B$5:$B$9,0)),0))</f>
        <v>0</v>
      </c>
      <c r="M21" s="26" t="str">
        <f aca="false">IF(OR(B21="",J21="",F21=Paramètres!$B$9),"",J21-Paramètres!$C$12)</f>
        <v/>
      </c>
      <c r="N21" s="27" t="str">
        <f aca="false">IF(B21="","",IF(F21=Paramètres!$B$9,"✔ Terminé",IF(J21="","",IF(J21&lt;Paramètres!$C$12,"⚠ En retard",IF(J21-Paramètres!$C$12&lt;=Paramètres!$C$13,"⏰ Bientôt","OK")))))</f>
        <v/>
      </c>
      <c r="O21" s="26" t="str">
        <f aca="false">IF(OR(B21="",I21=""),"",IF(K21&lt;&gt;"",K21-I21,IF(F21=Paramètres!$B$9,"",Paramètres!$C$12-I21)))</f>
        <v/>
      </c>
      <c r="P21" s="26" t="n">
        <f aca="false">IF(OR(B21="",H21=""),"",IF(K21&lt;&gt;"",K21-H21,Paramètres!$C$12-H21))</f>
        <v>2</v>
      </c>
      <c r="Q21" s="29" t="n">
        <f aca="false">IF(B21="","",IFERROR(MATCH(E21,Paramètres!$G$5:$G$7,0),99))</f>
        <v>3</v>
      </c>
      <c r="R21" s="29" t="n">
        <f aca="false">IF(B21="","",IF(OR(Kanban!$C$3="Tous",D21=Kanban!$C$3),1,0))</f>
        <v>1</v>
      </c>
      <c r="S21" s="29" t="n">
        <f aca="false">IF(R21=1,COUNTIFS($F$5:$F$104,F21,$R$5:$R$104,1,$Q$5:$Q$104,"&lt;"&amp;Q21)+COUNTIFS($F$5:F21,F21,$R$5:R21,1,$Q$5:Q21,Q21),"")</f>
        <v>2</v>
      </c>
      <c r="T21" s="29" t="str">
        <f aca="false">IF(S21="","",F21&amp;"|"&amp;S21)</f>
        <v>Backlog|2</v>
      </c>
      <c r="U21" s="29" t="str">
        <f aca="false">IF(S21="","",A21&amp;"  "&amp;B21&amp;CHAR(10)&amp;"👤 "&amp;D21&amp;"   📅 "&amp;IF(J21="","—",TEXT(DAY(J21),"00")&amp;"/"&amp;TEXT(MONTH(J21),"00"))&amp;CHAR(10)&amp;IF(E21="Haute","🔴 ",IF(E21="Moyenne","🟠 ","🟢 "))&amp;E21&amp;IF(N21="⚠ En retard","   ⚠ En retard",""))</f>
        <v>T-017  Optimiser les performances
👤 Yacine   📅 —
🟢 Basse</v>
      </c>
    </row>
    <row r="22" customFormat="false" ht="35.05" hidden="false" customHeight="false" outlineLevel="0" collapsed="false">
      <c r="A22" s="22" t="str">
        <f aca="false">IF(B22="","","T-"&amp;TEXT(ROW()-4,"000"))</f>
        <v>T-018</v>
      </c>
      <c r="B22" s="23" t="s">
        <v>61</v>
      </c>
      <c r="C22" s="23" t="s">
        <v>41</v>
      </c>
      <c r="D22" s="23" t="s">
        <v>42</v>
      </c>
      <c r="E22" s="23" t="s">
        <v>52</v>
      </c>
      <c r="F22" s="23" t="s">
        <v>60</v>
      </c>
      <c r="G22" s="23" t="n">
        <v>40</v>
      </c>
      <c r="H22" s="24" t="n">
        <v>46307</v>
      </c>
      <c r="I22" s="24"/>
      <c r="J22" s="24"/>
      <c r="K22" s="24"/>
      <c r="L22" s="25" t="n">
        <f aca="false">IF(B22="",0,IFERROR(INDEX(Paramètres!$D$5:$D$9,MATCH(F22,Paramètres!$B$5:$B$9,0)),0))</f>
        <v>0</v>
      </c>
      <c r="M22" s="26" t="str">
        <f aca="false">IF(OR(B22="",J22="",F22=Paramètres!$B$9),"",J22-Paramètres!$C$12)</f>
        <v/>
      </c>
      <c r="N22" s="27" t="str">
        <f aca="false">IF(B22="","",IF(F22=Paramètres!$B$9,"✔ Terminé",IF(J22="","",IF(J22&lt;Paramètres!$C$12,"⚠ En retard",IF(J22-Paramètres!$C$12&lt;=Paramètres!$C$13,"⏰ Bientôt","OK")))))</f>
        <v/>
      </c>
      <c r="O22" s="26" t="str">
        <f aca="false">IF(OR(B22="",I22=""),"",IF(K22&lt;&gt;"",K22-I22,IF(F22=Paramètres!$B$9,"",Paramètres!$C$12-I22)))</f>
        <v/>
      </c>
      <c r="P22" s="26" t="n">
        <f aca="false">IF(OR(B22="",H22=""),"",IF(K22&lt;&gt;"",K22-H22,Paramètres!$C$12-H22))</f>
        <v>1</v>
      </c>
      <c r="Q22" s="29" t="n">
        <f aca="false">IF(B22="","",IFERROR(MATCH(E22,Paramètres!$G$5:$G$7,0),99))</f>
        <v>3</v>
      </c>
      <c r="R22" s="29" t="n">
        <f aca="false">IF(B22="","",IF(OR(Kanban!$C$3="Tous",D22=Kanban!$C$3),1,0))</f>
        <v>1</v>
      </c>
      <c r="S22" s="29" t="n">
        <f aca="false">IF(R22=1,COUNTIFS($F$5:$F$104,F22,$R$5:$R$104,1,$Q$5:$Q$104,"&lt;"&amp;Q22)+COUNTIFS($F$5:F22,F22,$R$5:R22,1,$Q$5:Q22,Q22),"")</f>
        <v>3</v>
      </c>
      <c r="T22" s="29" t="str">
        <f aca="false">IF(S22="","",F22&amp;"|"&amp;S22)</f>
        <v>Backlog|3</v>
      </c>
      <c r="U22" s="29" t="str">
        <f aca="false">IF(S22="","",A22&amp;"  "&amp;B22&amp;CHAR(10)&amp;"👤 "&amp;D22&amp;"   📅 "&amp;IF(J22="","—",TEXT(DAY(J22),"00")&amp;"/"&amp;TEXT(MONTH(J22),"00"))&amp;CHAR(10)&amp;IF(E22="Haute","🔴 ",IF(E22="Moyenne","🟠 ","🟢 "))&amp;E22&amp;IF(N22="⚠ En retard","   ⚠ En retard",""))</f>
        <v>T-018  Application mobile
👤 Yacine   📅 —
🟢 Basse</v>
      </c>
    </row>
    <row r="23" customFormat="false" ht="35.05" hidden="false" customHeight="false" outlineLevel="0" collapsed="false">
      <c r="A23" s="22" t="str">
        <f aca="false">IF(B23="","","T-"&amp;TEXT(ROW()-4,"000"))</f>
        <v>T-019</v>
      </c>
      <c r="B23" s="23" t="s">
        <v>62</v>
      </c>
      <c r="C23" s="23" t="s">
        <v>54</v>
      </c>
      <c r="D23" s="23" t="s">
        <v>33</v>
      </c>
      <c r="E23" s="23" t="s">
        <v>34</v>
      </c>
      <c r="F23" s="23" t="s">
        <v>60</v>
      </c>
      <c r="G23" s="23" t="n">
        <v>20</v>
      </c>
      <c r="H23" s="24" t="n">
        <v>46307</v>
      </c>
      <c r="I23" s="24"/>
      <c r="J23" s="24"/>
      <c r="K23" s="24"/>
      <c r="L23" s="25" t="n">
        <f aca="false">IF(B23="",0,IFERROR(INDEX(Paramètres!$D$5:$D$9,MATCH(F23,Paramètres!$B$5:$B$9,0)),0))</f>
        <v>0</v>
      </c>
      <c r="M23" s="26" t="str">
        <f aca="false">IF(OR(B23="",J23="",F23=Paramètres!$B$9),"",J23-Paramètres!$C$12)</f>
        <v/>
      </c>
      <c r="N23" s="27" t="str">
        <f aca="false">IF(B23="","",IF(F23=Paramètres!$B$9,"✔ Terminé",IF(J23="","",IF(J23&lt;Paramètres!$C$12,"⚠ En retard",IF(J23-Paramètres!$C$12&lt;=Paramètres!$C$13,"⏰ Bientôt","OK")))))</f>
        <v/>
      </c>
      <c r="O23" s="26" t="str">
        <f aca="false">IF(OR(B23="",I23=""),"",IF(K23&lt;&gt;"",K23-I23,IF(F23=Paramètres!$B$9,"",Paramètres!$C$12-I23)))</f>
        <v/>
      </c>
      <c r="P23" s="26" t="n">
        <f aca="false">IF(OR(B23="",H23=""),"",IF(K23&lt;&gt;"",K23-H23,Paramètres!$C$12-H23))</f>
        <v>1</v>
      </c>
      <c r="Q23" s="29" t="n">
        <f aca="false">IF(B23="","",IFERROR(MATCH(E23,Paramètres!$G$5:$G$7,0),99))</f>
        <v>2</v>
      </c>
      <c r="R23" s="29" t="n">
        <f aca="false">IF(B23="","",IF(OR(Kanban!$C$3="Tous",D23=Kanban!$C$3),1,0))</f>
        <v>1</v>
      </c>
      <c r="S23" s="29" t="n">
        <f aca="false">IF(R23=1,COUNTIFS($F$5:$F$104,F23,$R$5:$R$104,1,$Q$5:$Q$104,"&lt;"&amp;Q23)+COUNTIFS($F$5:F23,F23,$R$5:R23,1,$Q$5:Q23,Q23),"")</f>
        <v>1</v>
      </c>
      <c r="T23" s="29" t="str">
        <f aca="false">IF(S23="","",F23&amp;"|"&amp;S23)</f>
        <v>Backlog|1</v>
      </c>
      <c r="U23" s="29" t="str">
        <f aca="false">IF(S23="","",A23&amp;"  "&amp;B23&amp;CHAR(10)&amp;"👤 "&amp;D23&amp;"   📅 "&amp;IF(J23="","—",TEXT(DAY(J23),"00")&amp;"/"&amp;TEXT(MONTH(J23),"00"))&amp;CHAR(10)&amp;IF(E23="Haute","🔴 ",IF(E23="Moyenne","🟠 ","🟢 "))&amp;E23&amp;IF(N23="⚠ En retard","   ⚠ En retard",""))</f>
        <v>T-019  Audit de sécurité
👤 Karim   📅 —
🟠 Moyenne</v>
      </c>
    </row>
    <row r="24" customFormat="false" ht="15" hidden="false" customHeight="false" outlineLevel="0" collapsed="false">
      <c r="A24" s="22" t="str">
        <f aca="false">IF(B24="","","T-"&amp;TEXT(ROW()-4,"000"))</f>
        <v/>
      </c>
      <c r="B24" s="23"/>
      <c r="C24" s="23"/>
      <c r="D24" s="23"/>
      <c r="E24" s="23"/>
      <c r="F24" s="23"/>
      <c r="G24" s="23"/>
      <c r="H24" s="24"/>
      <c r="I24" s="24"/>
      <c r="J24" s="24"/>
      <c r="K24" s="24"/>
      <c r="L24" s="25" t="n">
        <f aca="false">IF(B24="",0,IFERROR(INDEX(Paramètres!$D$5:$D$9,MATCH(F24,Paramètres!$B$5:$B$9,0)),0))</f>
        <v>0</v>
      </c>
      <c r="M24" s="26" t="str">
        <f aca="false">IF(OR(B24="",J24="",F24=Paramètres!$B$9),"",J24-Paramètres!$C$12)</f>
        <v/>
      </c>
      <c r="N24" s="27" t="str">
        <f aca="false">IF(B24="","",IF(F24=Paramètres!$B$9,"✔ Terminé",IF(J24="","",IF(J24&lt;Paramètres!$C$12,"⚠ En retard",IF(J24-Paramètres!$C$12&lt;=Paramètres!$C$13,"⏰ Bientôt","OK")))))</f>
        <v/>
      </c>
      <c r="O24" s="26" t="str">
        <f aca="false">IF(OR(B24="",I24=""),"",IF(K24&lt;&gt;"",K24-I24,IF(F24=Paramètres!$B$9,"",Paramètres!$C$12-I24)))</f>
        <v/>
      </c>
      <c r="P24" s="26" t="str">
        <f aca="false">IF(OR(B24="",H24=""),"",IF(K24&lt;&gt;"",K24-H24,Paramètres!$C$12-H24))</f>
        <v/>
      </c>
      <c r="Q24" s="29" t="str">
        <f aca="false">IF(B24="","",IFERROR(MATCH(E24,Paramètres!$G$5:$G$7,0),99))</f>
        <v/>
      </c>
      <c r="R24" s="29" t="str">
        <f aca="false">IF(B24="","",IF(OR(Kanban!$C$3="Tous",D24=Kanban!$C$3),1,0))</f>
        <v/>
      </c>
      <c r="S24" s="29" t="str">
        <f aca="false">IF(R24=1,COUNTIFS($F$5:$F$104,F24,$R$5:$R$104,1,$Q$5:$Q$104,"&lt;"&amp;Q24)+COUNTIFS($F$5:F24,F24,$R$5:R24,1,$Q$5:Q24,Q24),"")</f>
        <v/>
      </c>
      <c r="T24" s="29" t="str">
        <f aca="false">IF(S24="","",F24&amp;"|"&amp;S24)</f>
        <v/>
      </c>
      <c r="U24" s="29" t="str">
        <f aca="false">IF(S24="","",A24&amp;"  "&amp;B24&amp;CHAR(10)&amp;"👤 "&amp;D24&amp;"   📅 "&amp;IF(J24="","—",TEXT(DAY(J24),"00")&amp;"/"&amp;TEXT(MONTH(J24),"00"))&amp;CHAR(10)&amp;IF(E24="Haute","🔴 ",IF(E24="Moyenne","🟠 ","🟢 "))&amp;E24&amp;IF(N24="⚠ En retard","   ⚠ En retard",""))</f>
        <v/>
      </c>
    </row>
    <row r="25" customFormat="false" ht="15" hidden="false" customHeight="false" outlineLevel="0" collapsed="false">
      <c r="A25" s="22" t="str">
        <f aca="false">IF(B25="","","T-"&amp;TEXT(ROW()-4,"000"))</f>
        <v/>
      </c>
      <c r="B25" s="23"/>
      <c r="C25" s="23"/>
      <c r="D25" s="23"/>
      <c r="E25" s="23"/>
      <c r="F25" s="23"/>
      <c r="G25" s="23"/>
      <c r="H25" s="24"/>
      <c r="I25" s="24"/>
      <c r="J25" s="24"/>
      <c r="K25" s="24"/>
      <c r="L25" s="25" t="n">
        <f aca="false">IF(B25="",0,IFERROR(INDEX(Paramètres!$D$5:$D$9,MATCH(F25,Paramètres!$B$5:$B$9,0)),0))</f>
        <v>0</v>
      </c>
      <c r="M25" s="26" t="str">
        <f aca="false">IF(OR(B25="",J25="",F25=Paramètres!$B$9),"",J25-Paramètres!$C$12)</f>
        <v/>
      </c>
      <c r="N25" s="27" t="str">
        <f aca="false">IF(B25="","",IF(F25=Paramètres!$B$9,"✔ Terminé",IF(J25="","",IF(J25&lt;Paramètres!$C$12,"⚠ En retard",IF(J25-Paramètres!$C$12&lt;=Paramètres!$C$13,"⏰ Bientôt","OK")))))</f>
        <v/>
      </c>
      <c r="O25" s="26" t="str">
        <f aca="false">IF(OR(B25="",I25=""),"",IF(K25&lt;&gt;"",K25-I25,IF(F25=Paramètres!$B$9,"",Paramètres!$C$12-I25)))</f>
        <v/>
      </c>
      <c r="P25" s="26" t="str">
        <f aca="false">IF(OR(B25="",H25=""),"",IF(K25&lt;&gt;"",K25-H25,Paramètres!$C$12-H25))</f>
        <v/>
      </c>
      <c r="Q25" s="29" t="str">
        <f aca="false">IF(B25="","",IFERROR(MATCH(E25,Paramètres!$G$5:$G$7,0),99))</f>
        <v/>
      </c>
      <c r="R25" s="29" t="str">
        <f aca="false">IF(B25="","",IF(OR(Kanban!$C$3="Tous",D25=Kanban!$C$3),1,0))</f>
        <v/>
      </c>
      <c r="S25" s="29" t="str">
        <f aca="false">IF(R25=1,COUNTIFS($F$5:$F$104,F25,$R$5:$R$104,1,$Q$5:$Q$104,"&lt;"&amp;Q25)+COUNTIFS($F$5:F25,F25,$R$5:R25,1,$Q$5:Q25,Q25),"")</f>
        <v/>
      </c>
      <c r="T25" s="29" t="str">
        <f aca="false">IF(S25="","",F25&amp;"|"&amp;S25)</f>
        <v/>
      </c>
      <c r="U25" s="29" t="str">
        <f aca="false">IF(S25="","",A25&amp;"  "&amp;B25&amp;CHAR(10)&amp;"👤 "&amp;D25&amp;"   📅 "&amp;IF(J25="","—",TEXT(DAY(J25),"00")&amp;"/"&amp;TEXT(MONTH(J25),"00"))&amp;CHAR(10)&amp;IF(E25="Haute","🔴 ",IF(E25="Moyenne","🟠 ","🟢 "))&amp;E25&amp;IF(N25="⚠ En retard","   ⚠ En retard",""))</f>
        <v/>
      </c>
    </row>
    <row r="26" customFormat="false" ht="15" hidden="false" customHeight="false" outlineLevel="0" collapsed="false">
      <c r="A26" s="22" t="str">
        <f aca="false">IF(B26="","","T-"&amp;TEXT(ROW()-4,"000"))</f>
        <v/>
      </c>
      <c r="B26" s="23"/>
      <c r="C26" s="23"/>
      <c r="D26" s="23"/>
      <c r="E26" s="23"/>
      <c r="F26" s="23"/>
      <c r="G26" s="23"/>
      <c r="H26" s="24"/>
      <c r="I26" s="24"/>
      <c r="J26" s="24"/>
      <c r="K26" s="24"/>
      <c r="L26" s="25" t="n">
        <f aca="false">IF(B26="",0,IFERROR(INDEX(Paramètres!$D$5:$D$9,MATCH(F26,Paramètres!$B$5:$B$9,0)),0))</f>
        <v>0</v>
      </c>
      <c r="M26" s="26" t="str">
        <f aca="false">IF(OR(B26="",J26="",F26=Paramètres!$B$9),"",J26-Paramètres!$C$12)</f>
        <v/>
      </c>
      <c r="N26" s="27" t="str">
        <f aca="false">IF(B26="","",IF(F26=Paramètres!$B$9,"✔ Terminé",IF(J26="","",IF(J26&lt;Paramètres!$C$12,"⚠ En retard",IF(J26-Paramètres!$C$12&lt;=Paramètres!$C$13,"⏰ Bientôt","OK")))))</f>
        <v/>
      </c>
      <c r="O26" s="26" t="str">
        <f aca="false">IF(OR(B26="",I26=""),"",IF(K26&lt;&gt;"",K26-I26,IF(F26=Paramètres!$B$9,"",Paramètres!$C$12-I26)))</f>
        <v/>
      </c>
      <c r="P26" s="26" t="str">
        <f aca="false">IF(OR(B26="",H26=""),"",IF(K26&lt;&gt;"",K26-H26,Paramètres!$C$12-H26))</f>
        <v/>
      </c>
      <c r="Q26" s="29" t="str">
        <f aca="false">IF(B26="","",IFERROR(MATCH(E26,Paramètres!$G$5:$G$7,0),99))</f>
        <v/>
      </c>
      <c r="R26" s="29" t="str">
        <f aca="false">IF(B26="","",IF(OR(Kanban!$C$3="Tous",D26=Kanban!$C$3),1,0))</f>
        <v/>
      </c>
      <c r="S26" s="29" t="str">
        <f aca="false">IF(R26=1,COUNTIFS($F$5:$F$104,F26,$R$5:$R$104,1,$Q$5:$Q$104,"&lt;"&amp;Q26)+COUNTIFS($F$5:F26,F26,$R$5:R26,1,$Q$5:Q26,Q26),"")</f>
        <v/>
      </c>
      <c r="T26" s="29" t="str">
        <f aca="false">IF(S26="","",F26&amp;"|"&amp;S26)</f>
        <v/>
      </c>
      <c r="U26" s="29" t="str">
        <f aca="false">IF(S26="","",A26&amp;"  "&amp;B26&amp;CHAR(10)&amp;"👤 "&amp;D26&amp;"   📅 "&amp;IF(J26="","—",TEXT(DAY(J26),"00")&amp;"/"&amp;TEXT(MONTH(J26),"00"))&amp;CHAR(10)&amp;IF(E26="Haute","🔴 ",IF(E26="Moyenne","🟠 ","🟢 "))&amp;E26&amp;IF(N26="⚠ En retard","   ⚠ En retard",""))</f>
        <v/>
      </c>
    </row>
    <row r="27" customFormat="false" ht="15" hidden="false" customHeight="false" outlineLevel="0" collapsed="false">
      <c r="A27" s="22" t="str">
        <f aca="false">IF(B27="","","T-"&amp;TEXT(ROW()-4,"000"))</f>
        <v/>
      </c>
      <c r="B27" s="23"/>
      <c r="C27" s="23"/>
      <c r="D27" s="23"/>
      <c r="E27" s="23"/>
      <c r="F27" s="23"/>
      <c r="G27" s="23"/>
      <c r="H27" s="24"/>
      <c r="I27" s="24"/>
      <c r="J27" s="24"/>
      <c r="K27" s="24"/>
      <c r="L27" s="25" t="n">
        <f aca="false">IF(B27="",0,IFERROR(INDEX(Paramètres!$D$5:$D$9,MATCH(F27,Paramètres!$B$5:$B$9,0)),0))</f>
        <v>0</v>
      </c>
      <c r="M27" s="26" t="str">
        <f aca="false">IF(OR(B27="",J27="",F27=Paramètres!$B$9),"",J27-Paramètres!$C$12)</f>
        <v/>
      </c>
      <c r="N27" s="27" t="str">
        <f aca="false">IF(B27="","",IF(F27=Paramètres!$B$9,"✔ Terminé",IF(J27="","",IF(J27&lt;Paramètres!$C$12,"⚠ En retard",IF(J27-Paramètres!$C$12&lt;=Paramètres!$C$13,"⏰ Bientôt","OK")))))</f>
        <v/>
      </c>
      <c r="O27" s="26" t="str">
        <f aca="false">IF(OR(B27="",I27=""),"",IF(K27&lt;&gt;"",K27-I27,IF(F27=Paramètres!$B$9,"",Paramètres!$C$12-I27)))</f>
        <v/>
      </c>
      <c r="P27" s="26" t="str">
        <f aca="false">IF(OR(B27="",H27=""),"",IF(K27&lt;&gt;"",K27-H27,Paramètres!$C$12-H27))</f>
        <v/>
      </c>
      <c r="Q27" s="29" t="str">
        <f aca="false">IF(B27="","",IFERROR(MATCH(E27,Paramètres!$G$5:$G$7,0),99))</f>
        <v/>
      </c>
      <c r="R27" s="29" t="str">
        <f aca="false">IF(B27="","",IF(OR(Kanban!$C$3="Tous",D27=Kanban!$C$3),1,0))</f>
        <v/>
      </c>
      <c r="S27" s="29" t="str">
        <f aca="false">IF(R27=1,COUNTIFS($F$5:$F$104,F27,$R$5:$R$104,1,$Q$5:$Q$104,"&lt;"&amp;Q27)+COUNTIFS($F$5:F27,F27,$R$5:R27,1,$Q$5:Q27,Q27),"")</f>
        <v/>
      </c>
      <c r="T27" s="29" t="str">
        <f aca="false">IF(S27="","",F27&amp;"|"&amp;S27)</f>
        <v/>
      </c>
      <c r="U27" s="29" t="str">
        <f aca="false">IF(S27="","",A27&amp;"  "&amp;B27&amp;CHAR(10)&amp;"👤 "&amp;D27&amp;"   📅 "&amp;IF(J27="","—",TEXT(DAY(J27),"00")&amp;"/"&amp;TEXT(MONTH(J27),"00"))&amp;CHAR(10)&amp;IF(E27="Haute","🔴 ",IF(E27="Moyenne","🟠 ","🟢 "))&amp;E27&amp;IF(N27="⚠ En retard","   ⚠ En retard",""))</f>
        <v/>
      </c>
    </row>
    <row r="28" customFormat="false" ht="15" hidden="false" customHeight="false" outlineLevel="0" collapsed="false">
      <c r="A28" s="22" t="str">
        <f aca="false">IF(B28="","","T-"&amp;TEXT(ROW()-4,"000"))</f>
        <v/>
      </c>
      <c r="B28" s="23"/>
      <c r="C28" s="23"/>
      <c r="D28" s="23"/>
      <c r="E28" s="23"/>
      <c r="F28" s="23"/>
      <c r="G28" s="23"/>
      <c r="H28" s="24"/>
      <c r="I28" s="24"/>
      <c r="J28" s="24"/>
      <c r="K28" s="24"/>
      <c r="L28" s="25" t="n">
        <f aca="false">IF(B28="",0,IFERROR(INDEX(Paramètres!$D$5:$D$9,MATCH(F28,Paramètres!$B$5:$B$9,0)),0))</f>
        <v>0</v>
      </c>
      <c r="M28" s="26" t="str">
        <f aca="false">IF(OR(B28="",J28="",F28=Paramètres!$B$9),"",J28-Paramètres!$C$12)</f>
        <v/>
      </c>
      <c r="N28" s="27" t="str">
        <f aca="false">IF(B28="","",IF(F28=Paramètres!$B$9,"✔ Terminé",IF(J28="","",IF(J28&lt;Paramètres!$C$12,"⚠ En retard",IF(J28-Paramètres!$C$12&lt;=Paramètres!$C$13,"⏰ Bientôt","OK")))))</f>
        <v/>
      </c>
      <c r="O28" s="26" t="str">
        <f aca="false">IF(OR(B28="",I28=""),"",IF(K28&lt;&gt;"",K28-I28,IF(F28=Paramètres!$B$9,"",Paramètres!$C$12-I28)))</f>
        <v/>
      </c>
      <c r="P28" s="26" t="str">
        <f aca="false">IF(OR(B28="",H28=""),"",IF(K28&lt;&gt;"",K28-H28,Paramètres!$C$12-H28))</f>
        <v/>
      </c>
      <c r="Q28" s="29" t="str">
        <f aca="false">IF(B28="","",IFERROR(MATCH(E28,Paramètres!$G$5:$G$7,0),99))</f>
        <v/>
      </c>
      <c r="R28" s="29" t="str">
        <f aca="false">IF(B28="","",IF(OR(Kanban!$C$3="Tous",D28=Kanban!$C$3),1,0))</f>
        <v/>
      </c>
      <c r="S28" s="29" t="str">
        <f aca="false">IF(R28=1,COUNTIFS($F$5:$F$104,F28,$R$5:$R$104,1,$Q$5:$Q$104,"&lt;"&amp;Q28)+COUNTIFS($F$5:F28,F28,$R$5:R28,1,$Q$5:Q28,Q28),"")</f>
        <v/>
      </c>
      <c r="T28" s="29" t="str">
        <f aca="false">IF(S28="","",F28&amp;"|"&amp;S28)</f>
        <v/>
      </c>
      <c r="U28" s="29" t="str">
        <f aca="false">IF(S28="","",A28&amp;"  "&amp;B28&amp;CHAR(10)&amp;"👤 "&amp;D28&amp;"   📅 "&amp;IF(J28="","—",TEXT(DAY(J28),"00")&amp;"/"&amp;TEXT(MONTH(J28),"00"))&amp;CHAR(10)&amp;IF(E28="Haute","🔴 ",IF(E28="Moyenne","🟠 ","🟢 "))&amp;E28&amp;IF(N28="⚠ En retard","   ⚠ En retard",""))</f>
        <v/>
      </c>
    </row>
    <row r="29" customFormat="false" ht="15" hidden="false" customHeight="false" outlineLevel="0" collapsed="false">
      <c r="A29" s="22" t="str">
        <f aca="false">IF(B29="","","T-"&amp;TEXT(ROW()-4,"000"))</f>
        <v/>
      </c>
      <c r="B29" s="23"/>
      <c r="C29" s="23"/>
      <c r="D29" s="23"/>
      <c r="E29" s="23"/>
      <c r="F29" s="23"/>
      <c r="G29" s="23"/>
      <c r="H29" s="24"/>
      <c r="I29" s="24"/>
      <c r="J29" s="24"/>
      <c r="K29" s="24"/>
      <c r="L29" s="25" t="n">
        <f aca="false">IF(B29="",0,IFERROR(INDEX(Paramètres!$D$5:$D$9,MATCH(F29,Paramètres!$B$5:$B$9,0)),0))</f>
        <v>0</v>
      </c>
      <c r="M29" s="26" t="str">
        <f aca="false">IF(OR(B29="",J29="",F29=Paramètres!$B$9),"",J29-Paramètres!$C$12)</f>
        <v/>
      </c>
      <c r="N29" s="27" t="str">
        <f aca="false">IF(B29="","",IF(F29=Paramètres!$B$9,"✔ Terminé",IF(J29="","",IF(J29&lt;Paramètres!$C$12,"⚠ En retard",IF(J29-Paramètres!$C$12&lt;=Paramètres!$C$13,"⏰ Bientôt","OK")))))</f>
        <v/>
      </c>
      <c r="O29" s="26" t="str">
        <f aca="false">IF(OR(B29="",I29=""),"",IF(K29&lt;&gt;"",K29-I29,IF(F29=Paramètres!$B$9,"",Paramètres!$C$12-I29)))</f>
        <v/>
      </c>
      <c r="P29" s="26" t="str">
        <f aca="false">IF(OR(B29="",H29=""),"",IF(K29&lt;&gt;"",K29-H29,Paramètres!$C$12-H29))</f>
        <v/>
      </c>
      <c r="Q29" s="29" t="str">
        <f aca="false">IF(B29="","",IFERROR(MATCH(E29,Paramètres!$G$5:$G$7,0),99))</f>
        <v/>
      </c>
      <c r="R29" s="29" t="str">
        <f aca="false">IF(B29="","",IF(OR(Kanban!$C$3="Tous",D29=Kanban!$C$3),1,0))</f>
        <v/>
      </c>
      <c r="S29" s="29" t="str">
        <f aca="false">IF(R29=1,COUNTIFS($F$5:$F$104,F29,$R$5:$R$104,1,$Q$5:$Q$104,"&lt;"&amp;Q29)+COUNTIFS($F$5:F29,F29,$R$5:R29,1,$Q$5:Q29,Q29),"")</f>
        <v/>
      </c>
      <c r="T29" s="29" t="str">
        <f aca="false">IF(S29="","",F29&amp;"|"&amp;S29)</f>
        <v/>
      </c>
      <c r="U29" s="29" t="str">
        <f aca="false">IF(S29="","",A29&amp;"  "&amp;B29&amp;CHAR(10)&amp;"👤 "&amp;D29&amp;"   📅 "&amp;IF(J29="","—",TEXT(DAY(J29),"00")&amp;"/"&amp;TEXT(MONTH(J29),"00"))&amp;CHAR(10)&amp;IF(E29="Haute","🔴 ",IF(E29="Moyenne","🟠 ","🟢 "))&amp;E29&amp;IF(N29="⚠ En retard","   ⚠ En retard",""))</f>
        <v/>
      </c>
    </row>
    <row r="30" customFormat="false" ht="15" hidden="false" customHeight="false" outlineLevel="0" collapsed="false">
      <c r="A30" s="22" t="str">
        <f aca="false">IF(B30="","","T-"&amp;TEXT(ROW()-4,"000"))</f>
        <v/>
      </c>
      <c r="B30" s="23"/>
      <c r="C30" s="23"/>
      <c r="D30" s="23"/>
      <c r="E30" s="23"/>
      <c r="F30" s="23"/>
      <c r="G30" s="23"/>
      <c r="H30" s="24"/>
      <c r="I30" s="24"/>
      <c r="J30" s="24"/>
      <c r="K30" s="24"/>
      <c r="L30" s="25" t="n">
        <f aca="false">IF(B30="",0,IFERROR(INDEX(Paramètres!$D$5:$D$9,MATCH(F30,Paramètres!$B$5:$B$9,0)),0))</f>
        <v>0</v>
      </c>
      <c r="M30" s="26" t="str">
        <f aca="false">IF(OR(B30="",J30="",F30=Paramètres!$B$9),"",J30-Paramètres!$C$12)</f>
        <v/>
      </c>
      <c r="N30" s="27" t="str">
        <f aca="false">IF(B30="","",IF(F30=Paramètres!$B$9,"✔ Terminé",IF(J30="","",IF(J30&lt;Paramètres!$C$12,"⚠ En retard",IF(J30-Paramètres!$C$12&lt;=Paramètres!$C$13,"⏰ Bientôt","OK")))))</f>
        <v/>
      </c>
      <c r="O30" s="26" t="str">
        <f aca="false">IF(OR(B30="",I30=""),"",IF(K30&lt;&gt;"",K30-I30,IF(F30=Paramètres!$B$9,"",Paramètres!$C$12-I30)))</f>
        <v/>
      </c>
      <c r="P30" s="26" t="str">
        <f aca="false">IF(OR(B30="",H30=""),"",IF(K30&lt;&gt;"",K30-H30,Paramètres!$C$12-H30))</f>
        <v/>
      </c>
      <c r="Q30" s="29" t="str">
        <f aca="false">IF(B30="","",IFERROR(MATCH(E30,Paramètres!$G$5:$G$7,0),99))</f>
        <v/>
      </c>
      <c r="R30" s="29" t="str">
        <f aca="false">IF(B30="","",IF(OR(Kanban!$C$3="Tous",D30=Kanban!$C$3),1,0))</f>
        <v/>
      </c>
      <c r="S30" s="29" t="str">
        <f aca="false">IF(R30=1,COUNTIFS($F$5:$F$104,F30,$R$5:$R$104,1,$Q$5:$Q$104,"&lt;"&amp;Q30)+COUNTIFS($F$5:F30,F30,$R$5:R30,1,$Q$5:Q30,Q30),"")</f>
        <v/>
      </c>
      <c r="T30" s="29" t="str">
        <f aca="false">IF(S30="","",F30&amp;"|"&amp;S30)</f>
        <v/>
      </c>
      <c r="U30" s="29" t="str">
        <f aca="false">IF(S30="","",A30&amp;"  "&amp;B30&amp;CHAR(10)&amp;"👤 "&amp;D30&amp;"   📅 "&amp;IF(J30="","—",TEXT(DAY(J30),"00")&amp;"/"&amp;TEXT(MONTH(J30),"00"))&amp;CHAR(10)&amp;IF(E30="Haute","🔴 ",IF(E30="Moyenne","🟠 ","🟢 "))&amp;E30&amp;IF(N30="⚠ En retard","   ⚠ En retard",""))</f>
        <v/>
      </c>
    </row>
    <row r="31" customFormat="false" ht="15" hidden="false" customHeight="false" outlineLevel="0" collapsed="false">
      <c r="A31" s="22" t="str">
        <f aca="false">IF(B31="","","T-"&amp;TEXT(ROW()-4,"000"))</f>
        <v/>
      </c>
      <c r="B31" s="23"/>
      <c r="C31" s="23"/>
      <c r="D31" s="23"/>
      <c r="E31" s="23"/>
      <c r="F31" s="23"/>
      <c r="G31" s="23"/>
      <c r="H31" s="24"/>
      <c r="I31" s="24"/>
      <c r="J31" s="24"/>
      <c r="K31" s="24"/>
      <c r="L31" s="25" t="n">
        <f aca="false">IF(B31="",0,IFERROR(INDEX(Paramètres!$D$5:$D$9,MATCH(F31,Paramètres!$B$5:$B$9,0)),0))</f>
        <v>0</v>
      </c>
      <c r="M31" s="26" t="str">
        <f aca="false">IF(OR(B31="",J31="",F31=Paramètres!$B$9),"",J31-Paramètres!$C$12)</f>
        <v/>
      </c>
      <c r="N31" s="27" t="str">
        <f aca="false">IF(B31="","",IF(F31=Paramètres!$B$9,"✔ Terminé",IF(J31="","",IF(J31&lt;Paramètres!$C$12,"⚠ En retard",IF(J31-Paramètres!$C$12&lt;=Paramètres!$C$13,"⏰ Bientôt","OK")))))</f>
        <v/>
      </c>
      <c r="O31" s="26" t="str">
        <f aca="false">IF(OR(B31="",I31=""),"",IF(K31&lt;&gt;"",K31-I31,IF(F31=Paramètres!$B$9,"",Paramètres!$C$12-I31)))</f>
        <v/>
      </c>
      <c r="P31" s="26" t="str">
        <f aca="false">IF(OR(B31="",H31=""),"",IF(K31&lt;&gt;"",K31-H31,Paramètres!$C$12-H31))</f>
        <v/>
      </c>
      <c r="Q31" s="29" t="str">
        <f aca="false">IF(B31="","",IFERROR(MATCH(E31,Paramètres!$G$5:$G$7,0),99))</f>
        <v/>
      </c>
      <c r="R31" s="29" t="str">
        <f aca="false">IF(B31="","",IF(OR(Kanban!$C$3="Tous",D31=Kanban!$C$3),1,0))</f>
        <v/>
      </c>
      <c r="S31" s="29" t="str">
        <f aca="false">IF(R31=1,COUNTIFS($F$5:$F$104,F31,$R$5:$R$104,1,$Q$5:$Q$104,"&lt;"&amp;Q31)+COUNTIFS($F$5:F31,F31,$R$5:R31,1,$Q$5:Q31,Q31),"")</f>
        <v/>
      </c>
      <c r="T31" s="29" t="str">
        <f aca="false">IF(S31="","",F31&amp;"|"&amp;S31)</f>
        <v/>
      </c>
      <c r="U31" s="29" t="str">
        <f aca="false">IF(S31="","",A31&amp;"  "&amp;B31&amp;CHAR(10)&amp;"👤 "&amp;D31&amp;"   📅 "&amp;IF(J31="","—",TEXT(DAY(J31),"00")&amp;"/"&amp;TEXT(MONTH(J31),"00"))&amp;CHAR(10)&amp;IF(E31="Haute","🔴 ",IF(E31="Moyenne","🟠 ","🟢 "))&amp;E31&amp;IF(N31="⚠ En retard","   ⚠ En retard",""))</f>
        <v/>
      </c>
    </row>
    <row r="32" customFormat="false" ht="15" hidden="false" customHeight="false" outlineLevel="0" collapsed="false">
      <c r="A32" s="22" t="str">
        <f aca="false">IF(B32="","","T-"&amp;TEXT(ROW()-4,"000"))</f>
        <v/>
      </c>
      <c r="B32" s="23"/>
      <c r="C32" s="23"/>
      <c r="D32" s="23"/>
      <c r="E32" s="23"/>
      <c r="F32" s="23"/>
      <c r="G32" s="23"/>
      <c r="H32" s="24"/>
      <c r="I32" s="24"/>
      <c r="J32" s="24"/>
      <c r="K32" s="24"/>
      <c r="L32" s="25" t="n">
        <f aca="false">IF(B32="",0,IFERROR(INDEX(Paramètres!$D$5:$D$9,MATCH(F32,Paramètres!$B$5:$B$9,0)),0))</f>
        <v>0</v>
      </c>
      <c r="M32" s="26" t="str">
        <f aca="false">IF(OR(B32="",J32="",F32=Paramètres!$B$9),"",J32-Paramètres!$C$12)</f>
        <v/>
      </c>
      <c r="N32" s="27" t="str">
        <f aca="false">IF(B32="","",IF(F32=Paramètres!$B$9,"✔ Terminé",IF(J32="","",IF(J32&lt;Paramètres!$C$12,"⚠ En retard",IF(J32-Paramètres!$C$12&lt;=Paramètres!$C$13,"⏰ Bientôt","OK")))))</f>
        <v/>
      </c>
      <c r="O32" s="26" t="str">
        <f aca="false">IF(OR(B32="",I32=""),"",IF(K32&lt;&gt;"",K32-I32,IF(F32=Paramètres!$B$9,"",Paramètres!$C$12-I32)))</f>
        <v/>
      </c>
      <c r="P32" s="26" t="str">
        <f aca="false">IF(OR(B32="",H32=""),"",IF(K32&lt;&gt;"",K32-H32,Paramètres!$C$12-H32))</f>
        <v/>
      </c>
      <c r="Q32" s="29" t="str">
        <f aca="false">IF(B32="","",IFERROR(MATCH(E32,Paramètres!$G$5:$G$7,0),99))</f>
        <v/>
      </c>
      <c r="R32" s="29" t="str">
        <f aca="false">IF(B32="","",IF(OR(Kanban!$C$3="Tous",D32=Kanban!$C$3),1,0))</f>
        <v/>
      </c>
      <c r="S32" s="29" t="str">
        <f aca="false">IF(R32=1,COUNTIFS($F$5:$F$104,F32,$R$5:$R$104,1,$Q$5:$Q$104,"&lt;"&amp;Q32)+COUNTIFS($F$5:F32,F32,$R$5:R32,1,$Q$5:Q32,Q32),"")</f>
        <v/>
      </c>
      <c r="T32" s="29" t="str">
        <f aca="false">IF(S32="","",F32&amp;"|"&amp;S32)</f>
        <v/>
      </c>
      <c r="U32" s="29" t="str">
        <f aca="false">IF(S32="","",A32&amp;"  "&amp;B32&amp;CHAR(10)&amp;"👤 "&amp;D32&amp;"   📅 "&amp;IF(J32="","—",TEXT(DAY(J32),"00")&amp;"/"&amp;TEXT(MONTH(J32),"00"))&amp;CHAR(10)&amp;IF(E32="Haute","🔴 ",IF(E32="Moyenne","🟠 ","🟢 "))&amp;E32&amp;IF(N32="⚠ En retard","   ⚠ En retard",""))</f>
        <v/>
      </c>
    </row>
    <row r="33" customFormat="false" ht="15" hidden="false" customHeight="false" outlineLevel="0" collapsed="false">
      <c r="A33" s="22" t="str">
        <f aca="false">IF(B33="","","T-"&amp;TEXT(ROW()-4,"000"))</f>
        <v/>
      </c>
      <c r="B33" s="23"/>
      <c r="C33" s="23"/>
      <c r="D33" s="23"/>
      <c r="E33" s="23"/>
      <c r="F33" s="23"/>
      <c r="G33" s="23"/>
      <c r="H33" s="24"/>
      <c r="I33" s="24"/>
      <c r="J33" s="24"/>
      <c r="K33" s="24"/>
      <c r="L33" s="25" t="n">
        <f aca="false">IF(B33="",0,IFERROR(INDEX(Paramètres!$D$5:$D$9,MATCH(F33,Paramètres!$B$5:$B$9,0)),0))</f>
        <v>0</v>
      </c>
      <c r="M33" s="26" t="str">
        <f aca="false">IF(OR(B33="",J33="",F33=Paramètres!$B$9),"",J33-Paramètres!$C$12)</f>
        <v/>
      </c>
      <c r="N33" s="27" t="str">
        <f aca="false">IF(B33="","",IF(F33=Paramètres!$B$9,"✔ Terminé",IF(J33="","",IF(J33&lt;Paramètres!$C$12,"⚠ En retard",IF(J33-Paramètres!$C$12&lt;=Paramètres!$C$13,"⏰ Bientôt","OK")))))</f>
        <v/>
      </c>
      <c r="O33" s="26" t="str">
        <f aca="false">IF(OR(B33="",I33=""),"",IF(K33&lt;&gt;"",K33-I33,IF(F33=Paramètres!$B$9,"",Paramètres!$C$12-I33)))</f>
        <v/>
      </c>
      <c r="P33" s="26" t="str">
        <f aca="false">IF(OR(B33="",H33=""),"",IF(K33&lt;&gt;"",K33-H33,Paramètres!$C$12-H33))</f>
        <v/>
      </c>
      <c r="Q33" s="29" t="str">
        <f aca="false">IF(B33="","",IFERROR(MATCH(E33,Paramètres!$G$5:$G$7,0),99))</f>
        <v/>
      </c>
      <c r="R33" s="29" t="str">
        <f aca="false">IF(B33="","",IF(OR(Kanban!$C$3="Tous",D33=Kanban!$C$3),1,0))</f>
        <v/>
      </c>
      <c r="S33" s="29" t="str">
        <f aca="false">IF(R33=1,COUNTIFS($F$5:$F$104,F33,$R$5:$R$104,1,$Q$5:$Q$104,"&lt;"&amp;Q33)+COUNTIFS($F$5:F33,F33,$R$5:R33,1,$Q$5:Q33,Q33),"")</f>
        <v/>
      </c>
      <c r="T33" s="29" t="str">
        <f aca="false">IF(S33="","",F33&amp;"|"&amp;S33)</f>
        <v/>
      </c>
      <c r="U33" s="29" t="str">
        <f aca="false">IF(S33="","",A33&amp;"  "&amp;B33&amp;CHAR(10)&amp;"👤 "&amp;D33&amp;"   📅 "&amp;IF(J33="","—",TEXT(DAY(J33),"00")&amp;"/"&amp;TEXT(MONTH(J33),"00"))&amp;CHAR(10)&amp;IF(E33="Haute","🔴 ",IF(E33="Moyenne","🟠 ","🟢 "))&amp;E33&amp;IF(N33="⚠ En retard","   ⚠ En retard",""))</f>
        <v/>
      </c>
    </row>
    <row r="34" customFormat="false" ht="15" hidden="false" customHeight="false" outlineLevel="0" collapsed="false">
      <c r="A34" s="22" t="str">
        <f aca="false">IF(B34="","","T-"&amp;TEXT(ROW()-4,"000"))</f>
        <v/>
      </c>
      <c r="B34" s="23"/>
      <c r="C34" s="23"/>
      <c r="D34" s="23"/>
      <c r="E34" s="23"/>
      <c r="F34" s="23"/>
      <c r="G34" s="23"/>
      <c r="H34" s="24"/>
      <c r="I34" s="24"/>
      <c r="J34" s="24"/>
      <c r="K34" s="24"/>
      <c r="L34" s="25" t="n">
        <f aca="false">IF(B34="",0,IFERROR(INDEX(Paramètres!$D$5:$D$9,MATCH(F34,Paramètres!$B$5:$B$9,0)),0))</f>
        <v>0</v>
      </c>
      <c r="M34" s="26" t="str">
        <f aca="false">IF(OR(B34="",J34="",F34=Paramètres!$B$9),"",J34-Paramètres!$C$12)</f>
        <v/>
      </c>
      <c r="N34" s="27" t="str">
        <f aca="false">IF(B34="","",IF(F34=Paramètres!$B$9,"✔ Terminé",IF(J34="","",IF(J34&lt;Paramètres!$C$12,"⚠ En retard",IF(J34-Paramètres!$C$12&lt;=Paramètres!$C$13,"⏰ Bientôt","OK")))))</f>
        <v/>
      </c>
      <c r="O34" s="26" t="str">
        <f aca="false">IF(OR(B34="",I34=""),"",IF(K34&lt;&gt;"",K34-I34,IF(F34=Paramètres!$B$9,"",Paramètres!$C$12-I34)))</f>
        <v/>
      </c>
      <c r="P34" s="26" t="str">
        <f aca="false">IF(OR(B34="",H34=""),"",IF(K34&lt;&gt;"",K34-H34,Paramètres!$C$12-H34))</f>
        <v/>
      </c>
      <c r="Q34" s="29" t="str">
        <f aca="false">IF(B34="","",IFERROR(MATCH(E34,Paramètres!$G$5:$G$7,0),99))</f>
        <v/>
      </c>
      <c r="R34" s="29" t="str">
        <f aca="false">IF(B34="","",IF(OR(Kanban!$C$3="Tous",D34=Kanban!$C$3),1,0))</f>
        <v/>
      </c>
      <c r="S34" s="29" t="str">
        <f aca="false">IF(R34=1,COUNTIFS($F$5:$F$104,F34,$R$5:$R$104,1,$Q$5:$Q$104,"&lt;"&amp;Q34)+COUNTIFS($F$5:F34,F34,$R$5:R34,1,$Q$5:Q34,Q34),"")</f>
        <v/>
      </c>
      <c r="T34" s="29" t="str">
        <f aca="false">IF(S34="","",F34&amp;"|"&amp;S34)</f>
        <v/>
      </c>
      <c r="U34" s="29" t="str">
        <f aca="false">IF(S34="","",A34&amp;"  "&amp;B34&amp;CHAR(10)&amp;"👤 "&amp;D34&amp;"   📅 "&amp;IF(J34="","—",TEXT(DAY(J34),"00")&amp;"/"&amp;TEXT(MONTH(J34),"00"))&amp;CHAR(10)&amp;IF(E34="Haute","🔴 ",IF(E34="Moyenne","🟠 ","🟢 "))&amp;E34&amp;IF(N34="⚠ En retard","   ⚠ En retard",""))</f>
        <v/>
      </c>
    </row>
    <row r="35" customFormat="false" ht="15" hidden="false" customHeight="false" outlineLevel="0" collapsed="false">
      <c r="A35" s="22" t="str">
        <f aca="false">IF(B35="","","T-"&amp;TEXT(ROW()-4,"000"))</f>
        <v/>
      </c>
      <c r="B35" s="23"/>
      <c r="C35" s="23"/>
      <c r="D35" s="23"/>
      <c r="E35" s="23"/>
      <c r="F35" s="23"/>
      <c r="G35" s="23"/>
      <c r="H35" s="24"/>
      <c r="I35" s="24"/>
      <c r="J35" s="24"/>
      <c r="K35" s="24"/>
      <c r="L35" s="25" t="n">
        <f aca="false">IF(B35="",0,IFERROR(INDEX(Paramètres!$D$5:$D$9,MATCH(F35,Paramètres!$B$5:$B$9,0)),0))</f>
        <v>0</v>
      </c>
      <c r="M35" s="26" t="str">
        <f aca="false">IF(OR(B35="",J35="",F35=Paramètres!$B$9),"",J35-Paramètres!$C$12)</f>
        <v/>
      </c>
      <c r="N35" s="27" t="str">
        <f aca="false">IF(B35="","",IF(F35=Paramètres!$B$9,"✔ Terminé",IF(J35="","",IF(J35&lt;Paramètres!$C$12,"⚠ En retard",IF(J35-Paramètres!$C$12&lt;=Paramètres!$C$13,"⏰ Bientôt","OK")))))</f>
        <v/>
      </c>
      <c r="O35" s="26" t="str">
        <f aca="false">IF(OR(B35="",I35=""),"",IF(K35&lt;&gt;"",K35-I35,IF(F35=Paramètres!$B$9,"",Paramètres!$C$12-I35)))</f>
        <v/>
      </c>
      <c r="P35" s="26" t="str">
        <f aca="false">IF(OR(B35="",H35=""),"",IF(K35&lt;&gt;"",K35-H35,Paramètres!$C$12-H35))</f>
        <v/>
      </c>
      <c r="Q35" s="29" t="str">
        <f aca="false">IF(B35="","",IFERROR(MATCH(E35,Paramètres!$G$5:$G$7,0),99))</f>
        <v/>
      </c>
      <c r="R35" s="29" t="str">
        <f aca="false">IF(B35="","",IF(OR(Kanban!$C$3="Tous",D35=Kanban!$C$3),1,0))</f>
        <v/>
      </c>
      <c r="S35" s="29" t="str">
        <f aca="false">IF(R35=1,COUNTIFS($F$5:$F$104,F35,$R$5:$R$104,1,$Q$5:$Q$104,"&lt;"&amp;Q35)+COUNTIFS($F$5:F35,F35,$R$5:R35,1,$Q$5:Q35,Q35),"")</f>
        <v/>
      </c>
      <c r="T35" s="29" t="str">
        <f aca="false">IF(S35="","",F35&amp;"|"&amp;S35)</f>
        <v/>
      </c>
      <c r="U35" s="29" t="str">
        <f aca="false">IF(S35="","",A35&amp;"  "&amp;B35&amp;CHAR(10)&amp;"👤 "&amp;D35&amp;"   📅 "&amp;IF(J35="","—",TEXT(DAY(J35),"00")&amp;"/"&amp;TEXT(MONTH(J35),"00"))&amp;CHAR(10)&amp;IF(E35="Haute","🔴 ",IF(E35="Moyenne","🟠 ","🟢 "))&amp;E35&amp;IF(N35="⚠ En retard","   ⚠ En retard",""))</f>
        <v/>
      </c>
    </row>
    <row r="36" customFormat="false" ht="15" hidden="false" customHeight="false" outlineLevel="0" collapsed="false">
      <c r="A36" s="22" t="str">
        <f aca="false">IF(B36="","","T-"&amp;TEXT(ROW()-4,"000"))</f>
        <v/>
      </c>
      <c r="B36" s="23"/>
      <c r="C36" s="23"/>
      <c r="D36" s="23"/>
      <c r="E36" s="23"/>
      <c r="F36" s="23"/>
      <c r="G36" s="23"/>
      <c r="H36" s="24"/>
      <c r="I36" s="24"/>
      <c r="J36" s="24"/>
      <c r="K36" s="24"/>
      <c r="L36" s="25" t="n">
        <f aca="false">IF(B36="",0,IFERROR(INDEX(Paramètres!$D$5:$D$9,MATCH(F36,Paramètres!$B$5:$B$9,0)),0))</f>
        <v>0</v>
      </c>
      <c r="M36" s="26" t="str">
        <f aca="false">IF(OR(B36="",J36="",F36=Paramètres!$B$9),"",J36-Paramètres!$C$12)</f>
        <v/>
      </c>
      <c r="N36" s="27" t="str">
        <f aca="false">IF(B36="","",IF(F36=Paramètres!$B$9,"✔ Terminé",IF(J36="","",IF(J36&lt;Paramètres!$C$12,"⚠ En retard",IF(J36-Paramètres!$C$12&lt;=Paramètres!$C$13,"⏰ Bientôt","OK")))))</f>
        <v/>
      </c>
      <c r="O36" s="26" t="str">
        <f aca="false">IF(OR(B36="",I36=""),"",IF(K36&lt;&gt;"",K36-I36,IF(F36=Paramètres!$B$9,"",Paramètres!$C$12-I36)))</f>
        <v/>
      </c>
      <c r="P36" s="26" t="str">
        <f aca="false">IF(OR(B36="",H36=""),"",IF(K36&lt;&gt;"",K36-H36,Paramètres!$C$12-H36))</f>
        <v/>
      </c>
      <c r="Q36" s="29" t="str">
        <f aca="false">IF(B36="","",IFERROR(MATCH(E36,Paramètres!$G$5:$G$7,0),99))</f>
        <v/>
      </c>
      <c r="R36" s="29" t="str">
        <f aca="false">IF(B36="","",IF(OR(Kanban!$C$3="Tous",D36=Kanban!$C$3),1,0))</f>
        <v/>
      </c>
      <c r="S36" s="29" t="str">
        <f aca="false">IF(R36=1,COUNTIFS($F$5:$F$104,F36,$R$5:$R$104,1,$Q$5:$Q$104,"&lt;"&amp;Q36)+COUNTIFS($F$5:F36,F36,$R$5:R36,1,$Q$5:Q36,Q36),"")</f>
        <v/>
      </c>
      <c r="T36" s="29" t="str">
        <f aca="false">IF(S36="","",F36&amp;"|"&amp;S36)</f>
        <v/>
      </c>
      <c r="U36" s="29" t="str">
        <f aca="false">IF(S36="","",A36&amp;"  "&amp;B36&amp;CHAR(10)&amp;"👤 "&amp;D36&amp;"   📅 "&amp;IF(J36="","—",TEXT(DAY(J36),"00")&amp;"/"&amp;TEXT(MONTH(J36),"00"))&amp;CHAR(10)&amp;IF(E36="Haute","🔴 ",IF(E36="Moyenne","🟠 ","🟢 "))&amp;E36&amp;IF(N36="⚠ En retard","   ⚠ En retard",""))</f>
        <v/>
      </c>
    </row>
    <row r="37" customFormat="false" ht="15" hidden="false" customHeight="false" outlineLevel="0" collapsed="false">
      <c r="A37" s="22" t="str">
        <f aca="false">IF(B37="","","T-"&amp;TEXT(ROW()-4,"000"))</f>
        <v/>
      </c>
      <c r="B37" s="23"/>
      <c r="C37" s="23"/>
      <c r="D37" s="23"/>
      <c r="E37" s="23"/>
      <c r="F37" s="23"/>
      <c r="G37" s="23"/>
      <c r="H37" s="24"/>
      <c r="I37" s="24"/>
      <c r="J37" s="24"/>
      <c r="K37" s="24"/>
      <c r="L37" s="25" t="n">
        <f aca="false">IF(B37="",0,IFERROR(INDEX(Paramètres!$D$5:$D$9,MATCH(F37,Paramètres!$B$5:$B$9,0)),0))</f>
        <v>0</v>
      </c>
      <c r="M37" s="26" t="str">
        <f aca="false">IF(OR(B37="",J37="",F37=Paramètres!$B$9),"",J37-Paramètres!$C$12)</f>
        <v/>
      </c>
      <c r="N37" s="27" t="str">
        <f aca="false">IF(B37="","",IF(F37=Paramètres!$B$9,"✔ Terminé",IF(J37="","",IF(J37&lt;Paramètres!$C$12,"⚠ En retard",IF(J37-Paramètres!$C$12&lt;=Paramètres!$C$13,"⏰ Bientôt","OK")))))</f>
        <v/>
      </c>
      <c r="O37" s="26" t="str">
        <f aca="false">IF(OR(B37="",I37=""),"",IF(K37&lt;&gt;"",K37-I37,IF(F37=Paramètres!$B$9,"",Paramètres!$C$12-I37)))</f>
        <v/>
      </c>
      <c r="P37" s="26" t="str">
        <f aca="false">IF(OR(B37="",H37=""),"",IF(K37&lt;&gt;"",K37-H37,Paramètres!$C$12-H37))</f>
        <v/>
      </c>
      <c r="Q37" s="29" t="str">
        <f aca="false">IF(B37="","",IFERROR(MATCH(E37,Paramètres!$G$5:$G$7,0),99))</f>
        <v/>
      </c>
      <c r="R37" s="29" t="str">
        <f aca="false">IF(B37="","",IF(OR(Kanban!$C$3="Tous",D37=Kanban!$C$3),1,0))</f>
        <v/>
      </c>
      <c r="S37" s="29" t="str">
        <f aca="false">IF(R37=1,COUNTIFS($F$5:$F$104,F37,$R$5:$R$104,1,$Q$5:$Q$104,"&lt;"&amp;Q37)+COUNTIFS($F$5:F37,F37,$R$5:R37,1,$Q$5:Q37,Q37),"")</f>
        <v/>
      </c>
      <c r="T37" s="29" t="str">
        <f aca="false">IF(S37="","",F37&amp;"|"&amp;S37)</f>
        <v/>
      </c>
      <c r="U37" s="29" t="str">
        <f aca="false">IF(S37="","",A37&amp;"  "&amp;B37&amp;CHAR(10)&amp;"👤 "&amp;D37&amp;"   📅 "&amp;IF(J37="","—",TEXT(DAY(J37),"00")&amp;"/"&amp;TEXT(MONTH(J37),"00"))&amp;CHAR(10)&amp;IF(E37="Haute","🔴 ",IF(E37="Moyenne","🟠 ","🟢 "))&amp;E37&amp;IF(N37="⚠ En retard","   ⚠ En retard",""))</f>
        <v/>
      </c>
    </row>
    <row r="38" customFormat="false" ht="15" hidden="false" customHeight="false" outlineLevel="0" collapsed="false">
      <c r="A38" s="22" t="str">
        <f aca="false">IF(B38="","","T-"&amp;TEXT(ROW()-4,"000"))</f>
        <v/>
      </c>
      <c r="B38" s="23"/>
      <c r="C38" s="23"/>
      <c r="D38" s="23"/>
      <c r="E38" s="23"/>
      <c r="F38" s="23"/>
      <c r="G38" s="23"/>
      <c r="H38" s="24"/>
      <c r="I38" s="24"/>
      <c r="J38" s="24"/>
      <c r="K38" s="24"/>
      <c r="L38" s="25" t="n">
        <f aca="false">IF(B38="",0,IFERROR(INDEX(Paramètres!$D$5:$D$9,MATCH(F38,Paramètres!$B$5:$B$9,0)),0))</f>
        <v>0</v>
      </c>
      <c r="M38" s="26" t="str">
        <f aca="false">IF(OR(B38="",J38="",F38=Paramètres!$B$9),"",J38-Paramètres!$C$12)</f>
        <v/>
      </c>
      <c r="N38" s="27" t="str">
        <f aca="false">IF(B38="","",IF(F38=Paramètres!$B$9,"✔ Terminé",IF(J38="","",IF(J38&lt;Paramètres!$C$12,"⚠ En retard",IF(J38-Paramètres!$C$12&lt;=Paramètres!$C$13,"⏰ Bientôt","OK")))))</f>
        <v/>
      </c>
      <c r="O38" s="26" t="str">
        <f aca="false">IF(OR(B38="",I38=""),"",IF(K38&lt;&gt;"",K38-I38,IF(F38=Paramètres!$B$9,"",Paramètres!$C$12-I38)))</f>
        <v/>
      </c>
      <c r="P38" s="26" t="str">
        <f aca="false">IF(OR(B38="",H38=""),"",IF(K38&lt;&gt;"",K38-H38,Paramètres!$C$12-H38))</f>
        <v/>
      </c>
      <c r="Q38" s="29" t="str">
        <f aca="false">IF(B38="","",IFERROR(MATCH(E38,Paramètres!$G$5:$G$7,0),99))</f>
        <v/>
      </c>
      <c r="R38" s="29" t="str">
        <f aca="false">IF(B38="","",IF(OR(Kanban!$C$3="Tous",D38=Kanban!$C$3),1,0))</f>
        <v/>
      </c>
      <c r="S38" s="29" t="str">
        <f aca="false">IF(R38=1,COUNTIFS($F$5:$F$104,F38,$R$5:$R$104,1,$Q$5:$Q$104,"&lt;"&amp;Q38)+COUNTIFS($F$5:F38,F38,$R$5:R38,1,$Q$5:Q38,Q38),"")</f>
        <v/>
      </c>
      <c r="T38" s="29" t="str">
        <f aca="false">IF(S38="","",F38&amp;"|"&amp;S38)</f>
        <v/>
      </c>
      <c r="U38" s="29" t="str">
        <f aca="false">IF(S38="","",A38&amp;"  "&amp;B38&amp;CHAR(10)&amp;"👤 "&amp;D38&amp;"   📅 "&amp;IF(J38="","—",TEXT(DAY(J38),"00")&amp;"/"&amp;TEXT(MONTH(J38),"00"))&amp;CHAR(10)&amp;IF(E38="Haute","🔴 ",IF(E38="Moyenne","🟠 ","🟢 "))&amp;E38&amp;IF(N38="⚠ En retard","   ⚠ En retard",""))</f>
        <v/>
      </c>
    </row>
    <row r="39" customFormat="false" ht="15" hidden="false" customHeight="false" outlineLevel="0" collapsed="false">
      <c r="A39" s="22" t="str">
        <f aca="false">IF(B39="","","T-"&amp;TEXT(ROW()-4,"000"))</f>
        <v/>
      </c>
      <c r="B39" s="23"/>
      <c r="C39" s="23"/>
      <c r="D39" s="23"/>
      <c r="E39" s="23"/>
      <c r="F39" s="23"/>
      <c r="G39" s="23"/>
      <c r="H39" s="24"/>
      <c r="I39" s="24"/>
      <c r="J39" s="24"/>
      <c r="K39" s="24"/>
      <c r="L39" s="25" t="n">
        <f aca="false">IF(B39="",0,IFERROR(INDEX(Paramètres!$D$5:$D$9,MATCH(F39,Paramètres!$B$5:$B$9,0)),0))</f>
        <v>0</v>
      </c>
      <c r="M39" s="26" t="str">
        <f aca="false">IF(OR(B39="",J39="",F39=Paramètres!$B$9),"",J39-Paramètres!$C$12)</f>
        <v/>
      </c>
      <c r="N39" s="27" t="str">
        <f aca="false">IF(B39="","",IF(F39=Paramètres!$B$9,"✔ Terminé",IF(J39="","",IF(J39&lt;Paramètres!$C$12,"⚠ En retard",IF(J39-Paramètres!$C$12&lt;=Paramètres!$C$13,"⏰ Bientôt","OK")))))</f>
        <v/>
      </c>
      <c r="O39" s="26" t="str">
        <f aca="false">IF(OR(B39="",I39=""),"",IF(K39&lt;&gt;"",K39-I39,IF(F39=Paramètres!$B$9,"",Paramètres!$C$12-I39)))</f>
        <v/>
      </c>
      <c r="P39" s="26" t="str">
        <f aca="false">IF(OR(B39="",H39=""),"",IF(K39&lt;&gt;"",K39-H39,Paramètres!$C$12-H39))</f>
        <v/>
      </c>
      <c r="Q39" s="29" t="str">
        <f aca="false">IF(B39="","",IFERROR(MATCH(E39,Paramètres!$G$5:$G$7,0),99))</f>
        <v/>
      </c>
      <c r="R39" s="29" t="str">
        <f aca="false">IF(B39="","",IF(OR(Kanban!$C$3="Tous",D39=Kanban!$C$3),1,0))</f>
        <v/>
      </c>
      <c r="S39" s="29" t="str">
        <f aca="false">IF(R39=1,COUNTIFS($F$5:$F$104,F39,$R$5:$R$104,1,$Q$5:$Q$104,"&lt;"&amp;Q39)+COUNTIFS($F$5:F39,F39,$R$5:R39,1,$Q$5:Q39,Q39),"")</f>
        <v/>
      </c>
      <c r="T39" s="29" t="str">
        <f aca="false">IF(S39="","",F39&amp;"|"&amp;S39)</f>
        <v/>
      </c>
      <c r="U39" s="29" t="str">
        <f aca="false">IF(S39="","",A39&amp;"  "&amp;B39&amp;CHAR(10)&amp;"👤 "&amp;D39&amp;"   📅 "&amp;IF(J39="","—",TEXT(DAY(J39),"00")&amp;"/"&amp;TEXT(MONTH(J39),"00"))&amp;CHAR(10)&amp;IF(E39="Haute","🔴 ",IF(E39="Moyenne","🟠 ","🟢 "))&amp;E39&amp;IF(N39="⚠ En retard","   ⚠ En retard",""))</f>
        <v/>
      </c>
    </row>
    <row r="40" customFormat="false" ht="15" hidden="false" customHeight="false" outlineLevel="0" collapsed="false">
      <c r="A40" s="22" t="str">
        <f aca="false">IF(B40="","","T-"&amp;TEXT(ROW()-4,"000"))</f>
        <v/>
      </c>
      <c r="B40" s="23"/>
      <c r="C40" s="23"/>
      <c r="D40" s="23"/>
      <c r="E40" s="23"/>
      <c r="F40" s="23"/>
      <c r="G40" s="23"/>
      <c r="H40" s="24"/>
      <c r="I40" s="24"/>
      <c r="J40" s="24"/>
      <c r="K40" s="24"/>
      <c r="L40" s="25" t="n">
        <f aca="false">IF(B40="",0,IFERROR(INDEX(Paramètres!$D$5:$D$9,MATCH(F40,Paramètres!$B$5:$B$9,0)),0))</f>
        <v>0</v>
      </c>
      <c r="M40" s="26" t="str">
        <f aca="false">IF(OR(B40="",J40="",F40=Paramètres!$B$9),"",J40-Paramètres!$C$12)</f>
        <v/>
      </c>
      <c r="N40" s="27" t="str">
        <f aca="false">IF(B40="","",IF(F40=Paramètres!$B$9,"✔ Terminé",IF(J40="","",IF(J40&lt;Paramètres!$C$12,"⚠ En retard",IF(J40-Paramètres!$C$12&lt;=Paramètres!$C$13,"⏰ Bientôt","OK")))))</f>
        <v/>
      </c>
      <c r="O40" s="26" t="str">
        <f aca="false">IF(OR(B40="",I40=""),"",IF(K40&lt;&gt;"",K40-I40,IF(F40=Paramètres!$B$9,"",Paramètres!$C$12-I40)))</f>
        <v/>
      </c>
      <c r="P40" s="26" t="str">
        <f aca="false">IF(OR(B40="",H40=""),"",IF(K40&lt;&gt;"",K40-H40,Paramètres!$C$12-H40))</f>
        <v/>
      </c>
      <c r="Q40" s="29" t="str">
        <f aca="false">IF(B40="","",IFERROR(MATCH(E40,Paramètres!$G$5:$G$7,0),99))</f>
        <v/>
      </c>
      <c r="R40" s="29" t="str">
        <f aca="false">IF(B40="","",IF(OR(Kanban!$C$3="Tous",D40=Kanban!$C$3),1,0))</f>
        <v/>
      </c>
      <c r="S40" s="29" t="str">
        <f aca="false">IF(R40=1,COUNTIFS($F$5:$F$104,F40,$R$5:$R$104,1,$Q$5:$Q$104,"&lt;"&amp;Q40)+COUNTIFS($F$5:F40,F40,$R$5:R40,1,$Q$5:Q40,Q40),"")</f>
        <v/>
      </c>
      <c r="T40" s="29" t="str">
        <f aca="false">IF(S40="","",F40&amp;"|"&amp;S40)</f>
        <v/>
      </c>
      <c r="U40" s="29" t="str">
        <f aca="false">IF(S40="","",A40&amp;"  "&amp;B40&amp;CHAR(10)&amp;"👤 "&amp;D40&amp;"   📅 "&amp;IF(J40="","—",TEXT(DAY(J40),"00")&amp;"/"&amp;TEXT(MONTH(J40),"00"))&amp;CHAR(10)&amp;IF(E40="Haute","🔴 ",IF(E40="Moyenne","🟠 ","🟢 "))&amp;E40&amp;IF(N40="⚠ En retard","   ⚠ En retard",""))</f>
        <v/>
      </c>
    </row>
    <row r="41" customFormat="false" ht="15" hidden="false" customHeight="false" outlineLevel="0" collapsed="false">
      <c r="A41" s="22" t="str">
        <f aca="false">IF(B41="","","T-"&amp;TEXT(ROW()-4,"000"))</f>
        <v/>
      </c>
      <c r="B41" s="23"/>
      <c r="C41" s="23"/>
      <c r="D41" s="23"/>
      <c r="E41" s="23"/>
      <c r="F41" s="23"/>
      <c r="G41" s="23"/>
      <c r="H41" s="24"/>
      <c r="I41" s="24"/>
      <c r="J41" s="24"/>
      <c r="K41" s="24"/>
      <c r="L41" s="25" t="n">
        <f aca="false">IF(B41="",0,IFERROR(INDEX(Paramètres!$D$5:$D$9,MATCH(F41,Paramètres!$B$5:$B$9,0)),0))</f>
        <v>0</v>
      </c>
      <c r="M41" s="26" t="str">
        <f aca="false">IF(OR(B41="",J41="",F41=Paramètres!$B$9),"",J41-Paramètres!$C$12)</f>
        <v/>
      </c>
      <c r="N41" s="27" t="str">
        <f aca="false">IF(B41="","",IF(F41=Paramètres!$B$9,"✔ Terminé",IF(J41="","",IF(J41&lt;Paramètres!$C$12,"⚠ En retard",IF(J41-Paramètres!$C$12&lt;=Paramètres!$C$13,"⏰ Bientôt","OK")))))</f>
        <v/>
      </c>
      <c r="O41" s="26" t="str">
        <f aca="false">IF(OR(B41="",I41=""),"",IF(K41&lt;&gt;"",K41-I41,IF(F41=Paramètres!$B$9,"",Paramètres!$C$12-I41)))</f>
        <v/>
      </c>
      <c r="P41" s="26" t="str">
        <f aca="false">IF(OR(B41="",H41=""),"",IF(K41&lt;&gt;"",K41-H41,Paramètres!$C$12-H41))</f>
        <v/>
      </c>
      <c r="Q41" s="29" t="str">
        <f aca="false">IF(B41="","",IFERROR(MATCH(E41,Paramètres!$G$5:$G$7,0),99))</f>
        <v/>
      </c>
      <c r="R41" s="29" t="str">
        <f aca="false">IF(B41="","",IF(OR(Kanban!$C$3="Tous",D41=Kanban!$C$3),1,0))</f>
        <v/>
      </c>
      <c r="S41" s="29" t="str">
        <f aca="false">IF(R41=1,COUNTIFS($F$5:$F$104,F41,$R$5:$R$104,1,$Q$5:$Q$104,"&lt;"&amp;Q41)+COUNTIFS($F$5:F41,F41,$R$5:R41,1,$Q$5:Q41,Q41),"")</f>
        <v/>
      </c>
      <c r="T41" s="29" t="str">
        <f aca="false">IF(S41="","",F41&amp;"|"&amp;S41)</f>
        <v/>
      </c>
      <c r="U41" s="29" t="str">
        <f aca="false">IF(S41="","",A41&amp;"  "&amp;B41&amp;CHAR(10)&amp;"👤 "&amp;D41&amp;"   📅 "&amp;IF(J41="","—",TEXT(DAY(J41),"00")&amp;"/"&amp;TEXT(MONTH(J41),"00"))&amp;CHAR(10)&amp;IF(E41="Haute","🔴 ",IF(E41="Moyenne","🟠 ","🟢 "))&amp;E41&amp;IF(N41="⚠ En retard","   ⚠ En retard",""))</f>
        <v/>
      </c>
    </row>
    <row r="42" customFormat="false" ht="15" hidden="false" customHeight="false" outlineLevel="0" collapsed="false">
      <c r="A42" s="22" t="str">
        <f aca="false">IF(B42="","","T-"&amp;TEXT(ROW()-4,"000"))</f>
        <v/>
      </c>
      <c r="B42" s="23"/>
      <c r="C42" s="23"/>
      <c r="D42" s="23"/>
      <c r="E42" s="23"/>
      <c r="F42" s="23"/>
      <c r="G42" s="23"/>
      <c r="H42" s="24"/>
      <c r="I42" s="24"/>
      <c r="J42" s="24"/>
      <c r="K42" s="24"/>
      <c r="L42" s="25" t="n">
        <f aca="false">IF(B42="",0,IFERROR(INDEX(Paramètres!$D$5:$D$9,MATCH(F42,Paramètres!$B$5:$B$9,0)),0))</f>
        <v>0</v>
      </c>
      <c r="M42" s="26" t="str">
        <f aca="false">IF(OR(B42="",J42="",F42=Paramètres!$B$9),"",J42-Paramètres!$C$12)</f>
        <v/>
      </c>
      <c r="N42" s="27" t="str">
        <f aca="false">IF(B42="","",IF(F42=Paramètres!$B$9,"✔ Terminé",IF(J42="","",IF(J42&lt;Paramètres!$C$12,"⚠ En retard",IF(J42-Paramètres!$C$12&lt;=Paramètres!$C$13,"⏰ Bientôt","OK")))))</f>
        <v/>
      </c>
      <c r="O42" s="26" t="str">
        <f aca="false">IF(OR(B42="",I42=""),"",IF(K42&lt;&gt;"",K42-I42,IF(F42=Paramètres!$B$9,"",Paramètres!$C$12-I42)))</f>
        <v/>
      </c>
      <c r="P42" s="26" t="str">
        <f aca="false">IF(OR(B42="",H42=""),"",IF(K42&lt;&gt;"",K42-H42,Paramètres!$C$12-H42))</f>
        <v/>
      </c>
      <c r="Q42" s="29" t="str">
        <f aca="false">IF(B42="","",IFERROR(MATCH(E42,Paramètres!$G$5:$G$7,0),99))</f>
        <v/>
      </c>
      <c r="R42" s="29" t="str">
        <f aca="false">IF(B42="","",IF(OR(Kanban!$C$3="Tous",D42=Kanban!$C$3),1,0))</f>
        <v/>
      </c>
      <c r="S42" s="29" t="str">
        <f aca="false">IF(R42=1,COUNTIFS($F$5:$F$104,F42,$R$5:$R$104,1,$Q$5:$Q$104,"&lt;"&amp;Q42)+COUNTIFS($F$5:F42,F42,$R$5:R42,1,$Q$5:Q42,Q42),"")</f>
        <v/>
      </c>
      <c r="T42" s="29" t="str">
        <f aca="false">IF(S42="","",F42&amp;"|"&amp;S42)</f>
        <v/>
      </c>
      <c r="U42" s="29" t="str">
        <f aca="false">IF(S42="","",A42&amp;"  "&amp;B42&amp;CHAR(10)&amp;"👤 "&amp;D42&amp;"   📅 "&amp;IF(J42="","—",TEXT(DAY(J42),"00")&amp;"/"&amp;TEXT(MONTH(J42),"00"))&amp;CHAR(10)&amp;IF(E42="Haute","🔴 ",IF(E42="Moyenne","🟠 ","🟢 "))&amp;E42&amp;IF(N42="⚠ En retard","   ⚠ En retard",""))</f>
        <v/>
      </c>
    </row>
    <row r="43" customFormat="false" ht="15" hidden="false" customHeight="false" outlineLevel="0" collapsed="false">
      <c r="A43" s="22" t="str">
        <f aca="false">IF(B43="","","T-"&amp;TEXT(ROW()-4,"000"))</f>
        <v/>
      </c>
      <c r="B43" s="23"/>
      <c r="C43" s="23"/>
      <c r="D43" s="23"/>
      <c r="E43" s="23"/>
      <c r="F43" s="23"/>
      <c r="G43" s="23"/>
      <c r="H43" s="24"/>
      <c r="I43" s="24"/>
      <c r="J43" s="24"/>
      <c r="K43" s="24"/>
      <c r="L43" s="25" t="n">
        <f aca="false">IF(B43="",0,IFERROR(INDEX(Paramètres!$D$5:$D$9,MATCH(F43,Paramètres!$B$5:$B$9,0)),0))</f>
        <v>0</v>
      </c>
      <c r="M43" s="26" t="str">
        <f aca="false">IF(OR(B43="",J43="",F43=Paramètres!$B$9),"",J43-Paramètres!$C$12)</f>
        <v/>
      </c>
      <c r="N43" s="27" t="str">
        <f aca="false">IF(B43="","",IF(F43=Paramètres!$B$9,"✔ Terminé",IF(J43="","",IF(J43&lt;Paramètres!$C$12,"⚠ En retard",IF(J43-Paramètres!$C$12&lt;=Paramètres!$C$13,"⏰ Bientôt","OK")))))</f>
        <v/>
      </c>
      <c r="O43" s="26" t="str">
        <f aca="false">IF(OR(B43="",I43=""),"",IF(K43&lt;&gt;"",K43-I43,IF(F43=Paramètres!$B$9,"",Paramètres!$C$12-I43)))</f>
        <v/>
      </c>
      <c r="P43" s="26" t="str">
        <f aca="false">IF(OR(B43="",H43=""),"",IF(K43&lt;&gt;"",K43-H43,Paramètres!$C$12-H43))</f>
        <v/>
      </c>
      <c r="Q43" s="29" t="str">
        <f aca="false">IF(B43="","",IFERROR(MATCH(E43,Paramètres!$G$5:$G$7,0),99))</f>
        <v/>
      </c>
      <c r="R43" s="29" t="str">
        <f aca="false">IF(B43="","",IF(OR(Kanban!$C$3="Tous",D43=Kanban!$C$3),1,0))</f>
        <v/>
      </c>
      <c r="S43" s="29" t="str">
        <f aca="false">IF(R43=1,COUNTIFS($F$5:$F$104,F43,$R$5:$R$104,1,$Q$5:$Q$104,"&lt;"&amp;Q43)+COUNTIFS($F$5:F43,F43,$R$5:R43,1,$Q$5:Q43,Q43),"")</f>
        <v/>
      </c>
      <c r="T43" s="29" t="str">
        <f aca="false">IF(S43="","",F43&amp;"|"&amp;S43)</f>
        <v/>
      </c>
      <c r="U43" s="29" t="str">
        <f aca="false">IF(S43="","",A43&amp;"  "&amp;B43&amp;CHAR(10)&amp;"👤 "&amp;D43&amp;"   📅 "&amp;IF(J43="","—",TEXT(DAY(J43),"00")&amp;"/"&amp;TEXT(MONTH(J43),"00"))&amp;CHAR(10)&amp;IF(E43="Haute","🔴 ",IF(E43="Moyenne","🟠 ","🟢 "))&amp;E43&amp;IF(N43="⚠ En retard","   ⚠ En retard",""))</f>
        <v/>
      </c>
    </row>
    <row r="44" customFormat="false" ht="15" hidden="false" customHeight="false" outlineLevel="0" collapsed="false">
      <c r="A44" s="22" t="str">
        <f aca="false">IF(B44="","","T-"&amp;TEXT(ROW()-4,"000"))</f>
        <v/>
      </c>
      <c r="B44" s="23"/>
      <c r="C44" s="23"/>
      <c r="D44" s="23"/>
      <c r="E44" s="23"/>
      <c r="F44" s="23"/>
      <c r="G44" s="23"/>
      <c r="H44" s="24"/>
      <c r="I44" s="24"/>
      <c r="J44" s="24"/>
      <c r="K44" s="24"/>
      <c r="L44" s="25" t="n">
        <f aca="false">IF(B44="",0,IFERROR(INDEX(Paramètres!$D$5:$D$9,MATCH(F44,Paramètres!$B$5:$B$9,0)),0))</f>
        <v>0</v>
      </c>
      <c r="M44" s="26" t="str">
        <f aca="false">IF(OR(B44="",J44="",F44=Paramètres!$B$9),"",J44-Paramètres!$C$12)</f>
        <v/>
      </c>
      <c r="N44" s="27" t="str">
        <f aca="false">IF(B44="","",IF(F44=Paramètres!$B$9,"✔ Terminé",IF(J44="","",IF(J44&lt;Paramètres!$C$12,"⚠ En retard",IF(J44-Paramètres!$C$12&lt;=Paramètres!$C$13,"⏰ Bientôt","OK")))))</f>
        <v/>
      </c>
      <c r="O44" s="26" t="str">
        <f aca="false">IF(OR(B44="",I44=""),"",IF(K44&lt;&gt;"",K44-I44,IF(F44=Paramètres!$B$9,"",Paramètres!$C$12-I44)))</f>
        <v/>
      </c>
      <c r="P44" s="26" t="str">
        <f aca="false">IF(OR(B44="",H44=""),"",IF(K44&lt;&gt;"",K44-H44,Paramètres!$C$12-H44))</f>
        <v/>
      </c>
      <c r="Q44" s="29" t="str">
        <f aca="false">IF(B44="","",IFERROR(MATCH(E44,Paramètres!$G$5:$G$7,0),99))</f>
        <v/>
      </c>
      <c r="R44" s="29" t="str">
        <f aca="false">IF(B44="","",IF(OR(Kanban!$C$3="Tous",D44=Kanban!$C$3),1,0))</f>
        <v/>
      </c>
      <c r="S44" s="29" t="str">
        <f aca="false">IF(R44=1,COUNTIFS($F$5:$F$104,F44,$R$5:$R$104,1,$Q$5:$Q$104,"&lt;"&amp;Q44)+COUNTIFS($F$5:F44,F44,$R$5:R44,1,$Q$5:Q44,Q44),"")</f>
        <v/>
      </c>
      <c r="T44" s="29" t="str">
        <f aca="false">IF(S44="","",F44&amp;"|"&amp;S44)</f>
        <v/>
      </c>
      <c r="U44" s="29" t="str">
        <f aca="false">IF(S44="","",A44&amp;"  "&amp;B44&amp;CHAR(10)&amp;"👤 "&amp;D44&amp;"   📅 "&amp;IF(J44="","—",TEXT(DAY(J44),"00")&amp;"/"&amp;TEXT(MONTH(J44),"00"))&amp;CHAR(10)&amp;IF(E44="Haute","🔴 ",IF(E44="Moyenne","🟠 ","🟢 "))&amp;E44&amp;IF(N44="⚠ En retard","   ⚠ En retard",""))</f>
        <v/>
      </c>
    </row>
    <row r="45" customFormat="false" ht="15" hidden="false" customHeight="false" outlineLevel="0" collapsed="false">
      <c r="A45" s="22" t="str">
        <f aca="false">IF(B45="","","T-"&amp;TEXT(ROW()-4,"000"))</f>
        <v/>
      </c>
      <c r="B45" s="23"/>
      <c r="C45" s="23"/>
      <c r="D45" s="23"/>
      <c r="E45" s="23"/>
      <c r="F45" s="23"/>
      <c r="G45" s="23"/>
      <c r="H45" s="24"/>
      <c r="I45" s="24"/>
      <c r="J45" s="24"/>
      <c r="K45" s="24"/>
      <c r="L45" s="25" t="n">
        <f aca="false">IF(B45="",0,IFERROR(INDEX(Paramètres!$D$5:$D$9,MATCH(F45,Paramètres!$B$5:$B$9,0)),0))</f>
        <v>0</v>
      </c>
      <c r="M45" s="26" t="str">
        <f aca="false">IF(OR(B45="",J45="",F45=Paramètres!$B$9),"",J45-Paramètres!$C$12)</f>
        <v/>
      </c>
      <c r="N45" s="27" t="str">
        <f aca="false">IF(B45="","",IF(F45=Paramètres!$B$9,"✔ Terminé",IF(J45="","",IF(J45&lt;Paramètres!$C$12,"⚠ En retard",IF(J45-Paramètres!$C$12&lt;=Paramètres!$C$13,"⏰ Bientôt","OK")))))</f>
        <v/>
      </c>
      <c r="O45" s="26" t="str">
        <f aca="false">IF(OR(B45="",I45=""),"",IF(K45&lt;&gt;"",K45-I45,IF(F45=Paramètres!$B$9,"",Paramètres!$C$12-I45)))</f>
        <v/>
      </c>
      <c r="P45" s="26" t="str">
        <f aca="false">IF(OR(B45="",H45=""),"",IF(K45&lt;&gt;"",K45-H45,Paramètres!$C$12-H45))</f>
        <v/>
      </c>
      <c r="Q45" s="29" t="str">
        <f aca="false">IF(B45="","",IFERROR(MATCH(E45,Paramètres!$G$5:$G$7,0),99))</f>
        <v/>
      </c>
      <c r="R45" s="29" t="str">
        <f aca="false">IF(B45="","",IF(OR(Kanban!$C$3="Tous",D45=Kanban!$C$3),1,0))</f>
        <v/>
      </c>
      <c r="S45" s="29" t="str">
        <f aca="false">IF(R45=1,COUNTIFS($F$5:$F$104,F45,$R$5:$R$104,1,$Q$5:$Q$104,"&lt;"&amp;Q45)+COUNTIFS($F$5:F45,F45,$R$5:R45,1,$Q$5:Q45,Q45),"")</f>
        <v/>
      </c>
      <c r="T45" s="29" t="str">
        <f aca="false">IF(S45="","",F45&amp;"|"&amp;S45)</f>
        <v/>
      </c>
      <c r="U45" s="29" t="str">
        <f aca="false">IF(S45="","",A45&amp;"  "&amp;B45&amp;CHAR(10)&amp;"👤 "&amp;D45&amp;"   📅 "&amp;IF(J45="","—",TEXT(DAY(J45),"00")&amp;"/"&amp;TEXT(MONTH(J45),"00"))&amp;CHAR(10)&amp;IF(E45="Haute","🔴 ",IF(E45="Moyenne","🟠 ","🟢 "))&amp;E45&amp;IF(N45="⚠ En retard","   ⚠ En retard",""))</f>
        <v/>
      </c>
    </row>
    <row r="46" customFormat="false" ht="15" hidden="false" customHeight="false" outlineLevel="0" collapsed="false">
      <c r="A46" s="22" t="str">
        <f aca="false">IF(B46="","","T-"&amp;TEXT(ROW()-4,"000"))</f>
        <v/>
      </c>
      <c r="B46" s="23"/>
      <c r="C46" s="23"/>
      <c r="D46" s="23"/>
      <c r="E46" s="23"/>
      <c r="F46" s="23"/>
      <c r="G46" s="23"/>
      <c r="H46" s="24"/>
      <c r="I46" s="24"/>
      <c r="J46" s="24"/>
      <c r="K46" s="24"/>
      <c r="L46" s="25" t="n">
        <f aca="false">IF(B46="",0,IFERROR(INDEX(Paramètres!$D$5:$D$9,MATCH(F46,Paramètres!$B$5:$B$9,0)),0))</f>
        <v>0</v>
      </c>
      <c r="M46" s="26" t="str">
        <f aca="false">IF(OR(B46="",J46="",F46=Paramètres!$B$9),"",J46-Paramètres!$C$12)</f>
        <v/>
      </c>
      <c r="N46" s="27" t="str">
        <f aca="false">IF(B46="","",IF(F46=Paramètres!$B$9,"✔ Terminé",IF(J46="","",IF(J46&lt;Paramètres!$C$12,"⚠ En retard",IF(J46-Paramètres!$C$12&lt;=Paramètres!$C$13,"⏰ Bientôt","OK")))))</f>
        <v/>
      </c>
      <c r="O46" s="26" t="str">
        <f aca="false">IF(OR(B46="",I46=""),"",IF(K46&lt;&gt;"",K46-I46,IF(F46=Paramètres!$B$9,"",Paramètres!$C$12-I46)))</f>
        <v/>
      </c>
      <c r="P46" s="26" t="str">
        <f aca="false">IF(OR(B46="",H46=""),"",IF(K46&lt;&gt;"",K46-H46,Paramètres!$C$12-H46))</f>
        <v/>
      </c>
      <c r="Q46" s="29" t="str">
        <f aca="false">IF(B46="","",IFERROR(MATCH(E46,Paramètres!$G$5:$G$7,0),99))</f>
        <v/>
      </c>
      <c r="R46" s="29" t="str">
        <f aca="false">IF(B46="","",IF(OR(Kanban!$C$3="Tous",D46=Kanban!$C$3),1,0))</f>
        <v/>
      </c>
      <c r="S46" s="29" t="str">
        <f aca="false">IF(R46=1,COUNTIFS($F$5:$F$104,F46,$R$5:$R$104,1,$Q$5:$Q$104,"&lt;"&amp;Q46)+COUNTIFS($F$5:F46,F46,$R$5:R46,1,$Q$5:Q46,Q46),"")</f>
        <v/>
      </c>
      <c r="T46" s="29" t="str">
        <f aca="false">IF(S46="","",F46&amp;"|"&amp;S46)</f>
        <v/>
      </c>
      <c r="U46" s="29" t="str">
        <f aca="false">IF(S46="","",A46&amp;"  "&amp;B46&amp;CHAR(10)&amp;"👤 "&amp;D46&amp;"   📅 "&amp;IF(J46="","—",TEXT(DAY(J46),"00")&amp;"/"&amp;TEXT(MONTH(J46),"00"))&amp;CHAR(10)&amp;IF(E46="Haute","🔴 ",IF(E46="Moyenne","🟠 ","🟢 "))&amp;E46&amp;IF(N46="⚠ En retard","   ⚠ En retard",""))</f>
        <v/>
      </c>
    </row>
    <row r="47" customFormat="false" ht="15" hidden="false" customHeight="false" outlineLevel="0" collapsed="false">
      <c r="A47" s="22" t="str">
        <f aca="false">IF(B47="","","T-"&amp;TEXT(ROW()-4,"000"))</f>
        <v/>
      </c>
      <c r="B47" s="23"/>
      <c r="C47" s="23"/>
      <c r="D47" s="23"/>
      <c r="E47" s="23"/>
      <c r="F47" s="23"/>
      <c r="G47" s="23"/>
      <c r="H47" s="24"/>
      <c r="I47" s="24"/>
      <c r="J47" s="24"/>
      <c r="K47" s="24"/>
      <c r="L47" s="25" t="n">
        <f aca="false">IF(B47="",0,IFERROR(INDEX(Paramètres!$D$5:$D$9,MATCH(F47,Paramètres!$B$5:$B$9,0)),0))</f>
        <v>0</v>
      </c>
      <c r="M47" s="26" t="str">
        <f aca="false">IF(OR(B47="",J47="",F47=Paramètres!$B$9),"",J47-Paramètres!$C$12)</f>
        <v/>
      </c>
      <c r="N47" s="27" t="str">
        <f aca="false">IF(B47="","",IF(F47=Paramètres!$B$9,"✔ Terminé",IF(J47="","",IF(J47&lt;Paramètres!$C$12,"⚠ En retard",IF(J47-Paramètres!$C$12&lt;=Paramètres!$C$13,"⏰ Bientôt","OK")))))</f>
        <v/>
      </c>
      <c r="O47" s="26" t="str">
        <f aca="false">IF(OR(B47="",I47=""),"",IF(K47&lt;&gt;"",K47-I47,IF(F47=Paramètres!$B$9,"",Paramètres!$C$12-I47)))</f>
        <v/>
      </c>
      <c r="P47" s="26" t="str">
        <f aca="false">IF(OR(B47="",H47=""),"",IF(K47&lt;&gt;"",K47-H47,Paramètres!$C$12-H47))</f>
        <v/>
      </c>
      <c r="Q47" s="29" t="str">
        <f aca="false">IF(B47="","",IFERROR(MATCH(E47,Paramètres!$G$5:$G$7,0),99))</f>
        <v/>
      </c>
      <c r="R47" s="29" t="str">
        <f aca="false">IF(B47="","",IF(OR(Kanban!$C$3="Tous",D47=Kanban!$C$3),1,0))</f>
        <v/>
      </c>
      <c r="S47" s="29" t="str">
        <f aca="false">IF(R47=1,COUNTIFS($F$5:$F$104,F47,$R$5:$R$104,1,$Q$5:$Q$104,"&lt;"&amp;Q47)+COUNTIFS($F$5:F47,F47,$R$5:R47,1,$Q$5:Q47,Q47),"")</f>
        <v/>
      </c>
      <c r="T47" s="29" t="str">
        <f aca="false">IF(S47="","",F47&amp;"|"&amp;S47)</f>
        <v/>
      </c>
      <c r="U47" s="29" t="str">
        <f aca="false">IF(S47="","",A47&amp;"  "&amp;B47&amp;CHAR(10)&amp;"👤 "&amp;D47&amp;"   📅 "&amp;IF(J47="","—",TEXT(DAY(J47),"00")&amp;"/"&amp;TEXT(MONTH(J47),"00"))&amp;CHAR(10)&amp;IF(E47="Haute","🔴 ",IF(E47="Moyenne","🟠 ","🟢 "))&amp;E47&amp;IF(N47="⚠ En retard","   ⚠ En retard",""))</f>
        <v/>
      </c>
    </row>
    <row r="48" customFormat="false" ht="15" hidden="false" customHeight="false" outlineLevel="0" collapsed="false">
      <c r="A48" s="22" t="str">
        <f aca="false">IF(B48="","","T-"&amp;TEXT(ROW()-4,"000"))</f>
        <v/>
      </c>
      <c r="B48" s="23"/>
      <c r="C48" s="23"/>
      <c r="D48" s="23"/>
      <c r="E48" s="23"/>
      <c r="F48" s="23"/>
      <c r="G48" s="23"/>
      <c r="H48" s="24"/>
      <c r="I48" s="24"/>
      <c r="J48" s="24"/>
      <c r="K48" s="24"/>
      <c r="L48" s="25" t="n">
        <f aca="false">IF(B48="",0,IFERROR(INDEX(Paramètres!$D$5:$D$9,MATCH(F48,Paramètres!$B$5:$B$9,0)),0))</f>
        <v>0</v>
      </c>
      <c r="M48" s="26" t="str">
        <f aca="false">IF(OR(B48="",J48="",F48=Paramètres!$B$9),"",J48-Paramètres!$C$12)</f>
        <v/>
      </c>
      <c r="N48" s="27" t="str">
        <f aca="false">IF(B48="","",IF(F48=Paramètres!$B$9,"✔ Terminé",IF(J48="","",IF(J48&lt;Paramètres!$C$12,"⚠ En retard",IF(J48-Paramètres!$C$12&lt;=Paramètres!$C$13,"⏰ Bientôt","OK")))))</f>
        <v/>
      </c>
      <c r="O48" s="26" t="str">
        <f aca="false">IF(OR(B48="",I48=""),"",IF(K48&lt;&gt;"",K48-I48,IF(F48=Paramètres!$B$9,"",Paramètres!$C$12-I48)))</f>
        <v/>
      </c>
      <c r="P48" s="26" t="str">
        <f aca="false">IF(OR(B48="",H48=""),"",IF(K48&lt;&gt;"",K48-H48,Paramètres!$C$12-H48))</f>
        <v/>
      </c>
      <c r="Q48" s="29" t="str">
        <f aca="false">IF(B48="","",IFERROR(MATCH(E48,Paramètres!$G$5:$G$7,0),99))</f>
        <v/>
      </c>
      <c r="R48" s="29" t="str">
        <f aca="false">IF(B48="","",IF(OR(Kanban!$C$3="Tous",D48=Kanban!$C$3),1,0))</f>
        <v/>
      </c>
      <c r="S48" s="29" t="str">
        <f aca="false">IF(R48=1,COUNTIFS($F$5:$F$104,F48,$R$5:$R$104,1,$Q$5:$Q$104,"&lt;"&amp;Q48)+COUNTIFS($F$5:F48,F48,$R$5:R48,1,$Q$5:Q48,Q48),"")</f>
        <v/>
      </c>
      <c r="T48" s="29" t="str">
        <f aca="false">IF(S48="","",F48&amp;"|"&amp;S48)</f>
        <v/>
      </c>
      <c r="U48" s="29" t="str">
        <f aca="false">IF(S48="","",A48&amp;"  "&amp;B48&amp;CHAR(10)&amp;"👤 "&amp;D48&amp;"   📅 "&amp;IF(J48="","—",TEXT(DAY(J48),"00")&amp;"/"&amp;TEXT(MONTH(J48),"00"))&amp;CHAR(10)&amp;IF(E48="Haute","🔴 ",IF(E48="Moyenne","🟠 ","🟢 "))&amp;E48&amp;IF(N48="⚠ En retard","   ⚠ En retard",""))</f>
        <v/>
      </c>
    </row>
    <row r="49" customFormat="false" ht="15" hidden="false" customHeight="false" outlineLevel="0" collapsed="false">
      <c r="A49" s="22" t="str">
        <f aca="false">IF(B49="","","T-"&amp;TEXT(ROW()-4,"000"))</f>
        <v/>
      </c>
      <c r="B49" s="23"/>
      <c r="C49" s="23"/>
      <c r="D49" s="23"/>
      <c r="E49" s="23"/>
      <c r="F49" s="23"/>
      <c r="G49" s="23"/>
      <c r="H49" s="24"/>
      <c r="I49" s="24"/>
      <c r="J49" s="24"/>
      <c r="K49" s="24"/>
      <c r="L49" s="25" t="n">
        <f aca="false">IF(B49="",0,IFERROR(INDEX(Paramètres!$D$5:$D$9,MATCH(F49,Paramètres!$B$5:$B$9,0)),0))</f>
        <v>0</v>
      </c>
      <c r="M49" s="26" t="str">
        <f aca="false">IF(OR(B49="",J49="",F49=Paramètres!$B$9),"",J49-Paramètres!$C$12)</f>
        <v/>
      </c>
      <c r="N49" s="27" t="str">
        <f aca="false">IF(B49="","",IF(F49=Paramètres!$B$9,"✔ Terminé",IF(J49="","",IF(J49&lt;Paramètres!$C$12,"⚠ En retard",IF(J49-Paramètres!$C$12&lt;=Paramètres!$C$13,"⏰ Bientôt","OK")))))</f>
        <v/>
      </c>
      <c r="O49" s="26" t="str">
        <f aca="false">IF(OR(B49="",I49=""),"",IF(K49&lt;&gt;"",K49-I49,IF(F49=Paramètres!$B$9,"",Paramètres!$C$12-I49)))</f>
        <v/>
      </c>
      <c r="P49" s="26" t="str">
        <f aca="false">IF(OR(B49="",H49=""),"",IF(K49&lt;&gt;"",K49-H49,Paramètres!$C$12-H49))</f>
        <v/>
      </c>
      <c r="Q49" s="29" t="str">
        <f aca="false">IF(B49="","",IFERROR(MATCH(E49,Paramètres!$G$5:$G$7,0),99))</f>
        <v/>
      </c>
      <c r="R49" s="29" t="str">
        <f aca="false">IF(B49="","",IF(OR(Kanban!$C$3="Tous",D49=Kanban!$C$3),1,0))</f>
        <v/>
      </c>
      <c r="S49" s="29" t="str">
        <f aca="false">IF(R49=1,COUNTIFS($F$5:$F$104,F49,$R$5:$R$104,1,$Q$5:$Q$104,"&lt;"&amp;Q49)+COUNTIFS($F$5:F49,F49,$R$5:R49,1,$Q$5:Q49,Q49),"")</f>
        <v/>
      </c>
      <c r="T49" s="29" t="str">
        <f aca="false">IF(S49="","",F49&amp;"|"&amp;S49)</f>
        <v/>
      </c>
      <c r="U49" s="29" t="str">
        <f aca="false">IF(S49="","",A49&amp;"  "&amp;B49&amp;CHAR(10)&amp;"👤 "&amp;D49&amp;"   📅 "&amp;IF(J49="","—",TEXT(DAY(J49),"00")&amp;"/"&amp;TEXT(MONTH(J49),"00"))&amp;CHAR(10)&amp;IF(E49="Haute","🔴 ",IF(E49="Moyenne","🟠 ","🟢 "))&amp;E49&amp;IF(N49="⚠ En retard","   ⚠ En retard",""))</f>
        <v/>
      </c>
    </row>
    <row r="50" customFormat="false" ht="15" hidden="false" customHeight="false" outlineLevel="0" collapsed="false">
      <c r="A50" s="22" t="str">
        <f aca="false">IF(B50="","","T-"&amp;TEXT(ROW()-4,"000"))</f>
        <v/>
      </c>
      <c r="B50" s="23"/>
      <c r="C50" s="23"/>
      <c r="D50" s="23"/>
      <c r="E50" s="23"/>
      <c r="F50" s="23"/>
      <c r="G50" s="23"/>
      <c r="H50" s="24"/>
      <c r="I50" s="24"/>
      <c r="J50" s="24"/>
      <c r="K50" s="24"/>
      <c r="L50" s="25" t="n">
        <f aca="false">IF(B50="",0,IFERROR(INDEX(Paramètres!$D$5:$D$9,MATCH(F50,Paramètres!$B$5:$B$9,0)),0))</f>
        <v>0</v>
      </c>
      <c r="M50" s="26" t="str">
        <f aca="false">IF(OR(B50="",J50="",F50=Paramètres!$B$9),"",J50-Paramètres!$C$12)</f>
        <v/>
      </c>
      <c r="N50" s="27" t="str">
        <f aca="false">IF(B50="","",IF(F50=Paramètres!$B$9,"✔ Terminé",IF(J50="","",IF(J50&lt;Paramètres!$C$12,"⚠ En retard",IF(J50-Paramètres!$C$12&lt;=Paramètres!$C$13,"⏰ Bientôt","OK")))))</f>
        <v/>
      </c>
      <c r="O50" s="26" t="str">
        <f aca="false">IF(OR(B50="",I50=""),"",IF(K50&lt;&gt;"",K50-I50,IF(F50=Paramètres!$B$9,"",Paramètres!$C$12-I50)))</f>
        <v/>
      </c>
      <c r="P50" s="26" t="str">
        <f aca="false">IF(OR(B50="",H50=""),"",IF(K50&lt;&gt;"",K50-H50,Paramètres!$C$12-H50))</f>
        <v/>
      </c>
      <c r="Q50" s="29" t="str">
        <f aca="false">IF(B50="","",IFERROR(MATCH(E50,Paramètres!$G$5:$G$7,0),99))</f>
        <v/>
      </c>
      <c r="R50" s="29" t="str">
        <f aca="false">IF(B50="","",IF(OR(Kanban!$C$3="Tous",D50=Kanban!$C$3),1,0))</f>
        <v/>
      </c>
      <c r="S50" s="29" t="str">
        <f aca="false">IF(R50=1,COUNTIFS($F$5:$F$104,F50,$R$5:$R$104,1,$Q$5:$Q$104,"&lt;"&amp;Q50)+COUNTIFS($F$5:F50,F50,$R$5:R50,1,$Q$5:Q50,Q50),"")</f>
        <v/>
      </c>
      <c r="T50" s="29" t="str">
        <f aca="false">IF(S50="","",F50&amp;"|"&amp;S50)</f>
        <v/>
      </c>
      <c r="U50" s="29" t="str">
        <f aca="false">IF(S50="","",A50&amp;"  "&amp;B50&amp;CHAR(10)&amp;"👤 "&amp;D50&amp;"   📅 "&amp;IF(J50="","—",TEXT(DAY(J50),"00")&amp;"/"&amp;TEXT(MONTH(J50),"00"))&amp;CHAR(10)&amp;IF(E50="Haute","🔴 ",IF(E50="Moyenne","🟠 ","🟢 "))&amp;E50&amp;IF(N50="⚠ En retard","   ⚠ En retard",""))</f>
        <v/>
      </c>
    </row>
    <row r="51" customFormat="false" ht="15" hidden="false" customHeight="false" outlineLevel="0" collapsed="false">
      <c r="A51" s="22" t="str">
        <f aca="false">IF(B51="","","T-"&amp;TEXT(ROW()-4,"000"))</f>
        <v/>
      </c>
      <c r="B51" s="23"/>
      <c r="C51" s="23"/>
      <c r="D51" s="23"/>
      <c r="E51" s="23"/>
      <c r="F51" s="23"/>
      <c r="G51" s="23"/>
      <c r="H51" s="24"/>
      <c r="I51" s="24"/>
      <c r="J51" s="24"/>
      <c r="K51" s="24"/>
      <c r="L51" s="25" t="n">
        <f aca="false">IF(B51="",0,IFERROR(INDEX(Paramètres!$D$5:$D$9,MATCH(F51,Paramètres!$B$5:$B$9,0)),0))</f>
        <v>0</v>
      </c>
      <c r="M51" s="26" t="str">
        <f aca="false">IF(OR(B51="",J51="",F51=Paramètres!$B$9),"",J51-Paramètres!$C$12)</f>
        <v/>
      </c>
      <c r="N51" s="27" t="str">
        <f aca="false">IF(B51="","",IF(F51=Paramètres!$B$9,"✔ Terminé",IF(J51="","",IF(J51&lt;Paramètres!$C$12,"⚠ En retard",IF(J51-Paramètres!$C$12&lt;=Paramètres!$C$13,"⏰ Bientôt","OK")))))</f>
        <v/>
      </c>
      <c r="O51" s="26" t="str">
        <f aca="false">IF(OR(B51="",I51=""),"",IF(K51&lt;&gt;"",K51-I51,IF(F51=Paramètres!$B$9,"",Paramètres!$C$12-I51)))</f>
        <v/>
      </c>
      <c r="P51" s="26" t="str">
        <f aca="false">IF(OR(B51="",H51=""),"",IF(K51&lt;&gt;"",K51-H51,Paramètres!$C$12-H51))</f>
        <v/>
      </c>
      <c r="Q51" s="29" t="str">
        <f aca="false">IF(B51="","",IFERROR(MATCH(E51,Paramètres!$G$5:$G$7,0),99))</f>
        <v/>
      </c>
      <c r="R51" s="29" t="str">
        <f aca="false">IF(B51="","",IF(OR(Kanban!$C$3="Tous",D51=Kanban!$C$3),1,0))</f>
        <v/>
      </c>
      <c r="S51" s="29" t="str">
        <f aca="false">IF(R51=1,COUNTIFS($F$5:$F$104,F51,$R$5:$R$104,1,$Q$5:$Q$104,"&lt;"&amp;Q51)+COUNTIFS($F$5:F51,F51,$R$5:R51,1,$Q$5:Q51,Q51),"")</f>
        <v/>
      </c>
      <c r="T51" s="29" t="str">
        <f aca="false">IF(S51="","",F51&amp;"|"&amp;S51)</f>
        <v/>
      </c>
      <c r="U51" s="29" t="str">
        <f aca="false">IF(S51="","",A51&amp;"  "&amp;B51&amp;CHAR(10)&amp;"👤 "&amp;D51&amp;"   📅 "&amp;IF(J51="","—",TEXT(DAY(J51),"00")&amp;"/"&amp;TEXT(MONTH(J51),"00"))&amp;CHAR(10)&amp;IF(E51="Haute","🔴 ",IF(E51="Moyenne","🟠 ","🟢 "))&amp;E51&amp;IF(N51="⚠ En retard","   ⚠ En retard",""))</f>
        <v/>
      </c>
    </row>
    <row r="52" customFormat="false" ht="15" hidden="false" customHeight="false" outlineLevel="0" collapsed="false">
      <c r="A52" s="22" t="str">
        <f aca="false">IF(B52="","","T-"&amp;TEXT(ROW()-4,"000"))</f>
        <v/>
      </c>
      <c r="B52" s="23"/>
      <c r="C52" s="23"/>
      <c r="D52" s="23"/>
      <c r="E52" s="23"/>
      <c r="F52" s="23"/>
      <c r="G52" s="23"/>
      <c r="H52" s="24"/>
      <c r="I52" s="24"/>
      <c r="J52" s="24"/>
      <c r="K52" s="24"/>
      <c r="L52" s="25" t="n">
        <f aca="false">IF(B52="",0,IFERROR(INDEX(Paramètres!$D$5:$D$9,MATCH(F52,Paramètres!$B$5:$B$9,0)),0))</f>
        <v>0</v>
      </c>
      <c r="M52" s="26" t="str">
        <f aca="false">IF(OR(B52="",J52="",F52=Paramètres!$B$9),"",J52-Paramètres!$C$12)</f>
        <v/>
      </c>
      <c r="N52" s="27" t="str">
        <f aca="false">IF(B52="","",IF(F52=Paramètres!$B$9,"✔ Terminé",IF(J52="","",IF(J52&lt;Paramètres!$C$12,"⚠ En retard",IF(J52-Paramètres!$C$12&lt;=Paramètres!$C$13,"⏰ Bientôt","OK")))))</f>
        <v/>
      </c>
      <c r="O52" s="26" t="str">
        <f aca="false">IF(OR(B52="",I52=""),"",IF(K52&lt;&gt;"",K52-I52,IF(F52=Paramètres!$B$9,"",Paramètres!$C$12-I52)))</f>
        <v/>
      </c>
      <c r="P52" s="26" t="str">
        <f aca="false">IF(OR(B52="",H52=""),"",IF(K52&lt;&gt;"",K52-H52,Paramètres!$C$12-H52))</f>
        <v/>
      </c>
      <c r="Q52" s="29" t="str">
        <f aca="false">IF(B52="","",IFERROR(MATCH(E52,Paramètres!$G$5:$G$7,0),99))</f>
        <v/>
      </c>
      <c r="R52" s="29" t="str">
        <f aca="false">IF(B52="","",IF(OR(Kanban!$C$3="Tous",D52=Kanban!$C$3),1,0))</f>
        <v/>
      </c>
      <c r="S52" s="29" t="str">
        <f aca="false">IF(R52=1,COUNTIFS($F$5:$F$104,F52,$R$5:$R$104,1,$Q$5:$Q$104,"&lt;"&amp;Q52)+COUNTIFS($F$5:F52,F52,$R$5:R52,1,$Q$5:Q52,Q52),"")</f>
        <v/>
      </c>
      <c r="T52" s="29" t="str">
        <f aca="false">IF(S52="","",F52&amp;"|"&amp;S52)</f>
        <v/>
      </c>
      <c r="U52" s="29" t="str">
        <f aca="false">IF(S52="","",A52&amp;"  "&amp;B52&amp;CHAR(10)&amp;"👤 "&amp;D52&amp;"   📅 "&amp;IF(J52="","—",TEXT(DAY(J52),"00")&amp;"/"&amp;TEXT(MONTH(J52),"00"))&amp;CHAR(10)&amp;IF(E52="Haute","🔴 ",IF(E52="Moyenne","🟠 ","🟢 "))&amp;E52&amp;IF(N52="⚠ En retard","   ⚠ En retard",""))</f>
        <v/>
      </c>
    </row>
    <row r="53" customFormat="false" ht="15" hidden="false" customHeight="false" outlineLevel="0" collapsed="false">
      <c r="A53" s="22" t="str">
        <f aca="false">IF(B53="","","T-"&amp;TEXT(ROW()-4,"000"))</f>
        <v/>
      </c>
      <c r="B53" s="23"/>
      <c r="C53" s="23"/>
      <c r="D53" s="23"/>
      <c r="E53" s="23"/>
      <c r="F53" s="23"/>
      <c r="G53" s="23"/>
      <c r="H53" s="24"/>
      <c r="I53" s="24"/>
      <c r="J53" s="24"/>
      <c r="K53" s="24"/>
      <c r="L53" s="25" t="n">
        <f aca="false">IF(B53="",0,IFERROR(INDEX(Paramètres!$D$5:$D$9,MATCH(F53,Paramètres!$B$5:$B$9,0)),0))</f>
        <v>0</v>
      </c>
      <c r="M53" s="26" t="str">
        <f aca="false">IF(OR(B53="",J53="",F53=Paramètres!$B$9),"",J53-Paramètres!$C$12)</f>
        <v/>
      </c>
      <c r="N53" s="27" t="str">
        <f aca="false">IF(B53="","",IF(F53=Paramètres!$B$9,"✔ Terminé",IF(J53="","",IF(J53&lt;Paramètres!$C$12,"⚠ En retard",IF(J53-Paramètres!$C$12&lt;=Paramètres!$C$13,"⏰ Bientôt","OK")))))</f>
        <v/>
      </c>
      <c r="O53" s="26" t="str">
        <f aca="false">IF(OR(B53="",I53=""),"",IF(K53&lt;&gt;"",K53-I53,IF(F53=Paramètres!$B$9,"",Paramètres!$C$12-I53)))</f>
        <v/>
      </c>
      <c r="P53" s="26" t="str">
        <f aca="false">IF(OR(B53="",H53=""),"",IF(K53&lt;&gt;"",K53-H53,Paramètres!$C$12-H53))</f>
        <v/>
      </c>
      <c r="Q53" s="29" t="str">
        <f aca="false">IF(B53="","",IFERROR(MATCH(E53,Paramètres!$G$5:$G$7,0),99))</f>
        <v/>
      </c>
      <c r="R53" s="29" t="str">
        <f aca="false">IF(B53="","",IF(OR(Kanban!$C$3="Tous",D53=Kanban!$C$3),1,0))</f>
        <v/>
      </c>
      <c r="S53" s="29" t="str">
        <f aca="false">IF(R53=1,COUNTIFS($F$5:$F$104,F53,$R$5:$R$104,1,$Q$5:$Q$104,"&lt;"&amp;Q53)+COUNTIFS($F$5:F53,F53,$R$5:R53,1,$Q$5:Q53,Q53),"")</f>
        <v/>
      </c>
      <c r="T53" s="29" t="str">
        <f aca="false">IF(S53="","",F53&amp;"|"&amp;S53)</f>
        <v/>
      </c>
      <c r="U53" s="29" t="str">
        <f aca="false">IF(S53="","",A53&amp;"  "&amp;B53&amp;CHAR(10)&amp;"👤 "&amp;D53&amp;"   📅 "&amp;IF(J53="","—",TEXT(DAY(J53),"00")&amp;"/"&amp;TEXT(MONTH(J53),"00"))&amp;CHAR(10)&amp;IF(E53="Haute","🔴 ",IF(E53="Moyenne","🟠 ","🟢 "))&amp;E53&amp;IF(N53="⚠ En retard","   ⚠ En retard",""))</f>
        <v/>
      </c>
    </row>
    <row r="54" customFormat="false" ht="15" hidden="false" customHeight="false" outlineLevel="0" collapsed="false">
      <c r="A54" s="22" t="str">
        <f aca="false">IF(B54="","","T-"&amp;TEXT(ROW()-4,"000"))</f>
        <v/>
      </c>
      <c r="B54" s="23"/>
      <c r="C54" s="23"/>
      <c r="D54" s="23"/>
      <c r="E54" s="23"/>
      <c r="F54" s="23"/>
      <c r="G54" s="23"/>
      <c r="H54" s="24"/>
      <c r="I54" s="24"/>
      <c r="J54" s="24"/>
      <c r="K54" s="24"/>
      <c r="L54" s="25" t="n">
        <f aca="false">IF(B54="",0,IFERROR(INDEX(Paramètres!$D$5:$D$9,MATCH(F54,Paramètres!$B$5:$B$9,0)),0))</f>
        <v>0</v>
      </c>
      <c r="M54" s="26" t="str">
        <f aca="false">IF(OR(B54="",J54="",F54=Paramètres!$B$9),"",J54-Paramètres!$C$12)</f>
        <v/>
      </c>
      <c r="N54" s="27" t="str">
        <f aca="false">IF(B54="","",IF(F54=Paramètres!$B$9,"✔ Terminé",IF(J54="","",IF(J54&lt;Paramètres!$C$12,"⚠ En retard",IF(J54-Paramètres!$C$12&lt;=Paramètres!$C$13,"⏰ Bientôt","OK")))))</f>
        <v/>
      </c>
      <c r="O54" s="26" t="str">
        <f aca="false">IF(OR(B54="",I54=""),"",IF(K54&lt;&gt;"",K54-I54,IF(F54=Paramètres!$B$9,"",Paramètres!$C$12-I54)))</f>
        <v/>
      </c>
      <c r="P54" s="26" t="str">
        <f aca="false">IF(OR(B54="",H54=""),"",IF(K54&lt;&gt;"",K54-H54,Paramètres!$C$12-H54))</f>
        <v/>
      </c>
      <c r="Q54" s="29" t="str">
        <f aca="false">IF(B54="","",IFERROR(MATCH(E54,Paramètres!$G$5:$G$7,0),99))</f>
        <v/>
      </c>
      <c r="R54" s="29" t="str">
        <f aca="false">IF(B54="","",IF(OR(Kanban!$C$3="Tous",D54=Kanban!$C$3),1,0))</f>
        <v/>
      </c>
      <c r="S54" s="29" t="str">
        <f aca="false">IF(R54=1,COUNTIFS($F$5:$F$104,F54,$R$5:$R$104,1,$Q$5:$Q$104,"&lt;"&amp;Q54)+COUNTIFS($F$5:F54,F54,$R$5:R54,1,$Q$5:Q54,Q54),"")</f>
        <v/>
      </c>
      <c r="T54" s="29" t="str">
        <f aca="false">IF(S54="","",F54&amp;"|"&amp;S54)</f>
        <v/>
      </c>
      <c r="U54" s="29" t="str">
        <f aca="false">IF(S54="","",A54&amp;"  "&amp;B54&amp;CHAR(10)&amp;"👤 "&amp;D54&amp;"   📅 "&amp;IF(J54="","—",TEXT(DAY(J54),"00")&amp;"/"&amp;TEXT(MONTH(J54),"00"))&amp;CHAR(10)&amp;IF(E54="Haute","🔴 ",IF(E54="Moyenne","🟠 ","🟢 "))&amp;E54&amp;IF(N54="⚠ En retard","   ⚠ En retard",""))</f>
        <v/>
      </c>
    </row>
    <row r="55" customFormat="false" ht="15" hidden="false" customHeight="false" outlineLevel="0" collapsed="false">
      <c r="A55" s="22" t="str">
        <f aca="false">IF(B55="","","T-"&amp;TEXT(ROW()-4,"000"))</f>
        <v/>
      </c>
      <c r="B55" s="23"/>
      <c r="C55" s="23"/>
      <c r="D55" s="23"/>
      <c r="E55" s="23"/>
      <c r="F55" s="23"/>
      <c r="G55" s="23"/>
      <c r="H55" s="24"/>
      <c r="I55" s="24"/>
      <c r="J55" s="24"/>
      <c r="K55" s="24"/>
      <c r="L55" s="25" t="n">
        <f aca="false">IF(B55="",0,IFERROR(INDEX(Paramètres!$D$5:$D$9,MATCH(F55,Paramètres!$B$5:$B$9,0)),0))</f>
        <v>0</v>
      </c>
      <c r="M55" s="26" t="str">
        <f aca="false">IF(OR(B55="",J55="",F55=Paramètres!$B$9),"",J55-Paramètres!$C$12)</f>
        <v/>
      </c>
      <c r="N55" s="27" t="str">
        <f aca="false">IF(B55="","",IF(F55=Paramètres!$B$9,"✔ Terminé",IF(J55="","",IF(J55&lt;Paramètres!$C$12,"⚠ En retard",IF(J55-Paramètres!$C$12&lt;=Paramètres!$C$13,"⏰ Bientôt","OK")))))</f>
        <v/>
      </c>
      <c r="O55" s="26" t="str">
        <f aca="false">IF(OR(B55="",I55=""),"",IF(K55&lt;&gt;"",K55-I55,IF(F55=Paramètres!$B$9,"",Paramètres!$C$12-I55)))</f>
        <v/>
      </c>
      <c r="P55" s="26" t="str">
        <f aca="false">IF(OR(B55="",H55=""),"",IF(K55&lt;&gt;"",K55-H55,Paramètres!$C$12-H55))</f>
        <v/>
      </c>
      <c r="Q55" s="29" t="str">
        <f aca="false">IF(B55="","",IFERROR(MATCH(E55,Paramètres!$G$5:$G$7,0),99))</f>
        <v/>
      </c>
      <c r="R55" s="29" t="str">
        <f aca="false">IF(B55="","",IF(OR(Kanban!$C$3="Tous",D55=Kanban!$C$3),1,0))</f>
        <v/>
      </c>
      <c r="S55" s="29" t="str">
        <f aca="false">IF(R55=1,COUNTIFS($F$5:$F$104,F55,$R$5:$R$104,1,$Q$5:$Q$104,"&lt;"&amp;Q55)+COUNTIFS($F$5:F55,F55,$R$5:R55,1,$Q$5:Q55,Q55),"")</f>
        <v/>
      </c>
      <c r="T55" s="29" t="str">
        <f aca="false">IF(S55="","",F55&amp;"|"&amp;S55)</f>
        <v/>
      </c>
      <c r="U55" s="29" t="str">
        <f aca="false">IF(S55="","",A55&amp;"  "&amp;B55&amp;CHAR(10)&amp;"👤 "&amp;D55&amp;"   📅 "&amp;IF(J55="","—",TEXT(DAY(J55),"00")&amp;"/"&amp;TEXT(MONTH(J55),"00"))&amp;CHAR(10)&amp;IF(E55="Haute","🔴 ",IF(E55="Moyenne","🟠 ","🟢 "))&amp;E55&amp;IF(N55="⚠ En retard","   ⚠ En retard",""))</f>
        <v/>
      </c>
    </row>
    <row r="56" customFormat="false" ht="15" hidden="false" customHeight="false" outlineLevel="0" collapsed="false">
      <c r="A56" s="22" t="str">
        <f aca="false">IF(B56="","","T-"&amp;TEXT(ROW()-4,"000"))</f>
        <v/>
      </c>
      <c r="B56" s="23"/>
      <c r="C56" s="23"/>
      <c r="D56" s="23"/>
      <c r="E56" s="23"/>
      <c r="F56" s="23"/>
      <c r="G56" s="23"/>
      <c r="H56" s="24"/>
      <c r="I56" s="24"/>
      <c r="J56" s="24"/>
      <c r="K56" s="24"/>
      <c r="L56" s="25" t="n">
        <f aca="false">IF(B56="",0,IFERROR(INDEX(Paramètres!$D$5:$D$9,MATCH(F56,Paramètres!$B$5:$B$9,0)),0))</f>
        <v>0</v>
      </c>
      <c r="M56" s="26" t="str">
        <f aca="false">IF(OR(B56="",J56="",F56=Paramètres!$B$9),"",J56-Paramètres!$C$12)</f>
        <v/>
      </c>
      <c r="N56" s="27" t="str">
        <f aca="false">IF(B56="","",IF(F56=Paramètres!$B$9,"✔ Terminé",IF(J56="","",IF(J56&lt;Paramètres!$C$12,"⚠ En retard",IF(J56-Paramètres!$C$12&lt;=Paramètres!$C$13,"⏰ Bientôt","OK")))))</f>
        <v/>
      </c>
      <c r="O56" s="26" t="str">
        <f aca="false">IF(OR(B56="",I56=""),"",IF(K56&lt;&gt;"",K56-I56,IF(F56=Paramètres!$B$9,"",Paramètres!$C$12-I56)))</f>
        <v/>
      </c>
      <c r="P56" s="26" t="str">
        <f aca="false">IF(OR(B56="",H56=""),"",IF(K56&lt;&gt;"",K56-H56,Paramètres!$C$12-H56))</f>
        <v/>
      </c>
      <c r="Q56" s="29" t="str">
        <f aca="false">IF(B56="","",IFERROR(MATCH(E56,Paramètres!$G$5:$G$7,0),99))</f>
        <v/>
      </c>
      <c r="R56" s="29" t="str">
        <f aca="false">IF(B56="","",IF(OR(Kanban!$C$3="Tous",D56=Kanban!$C$3),1,0))</f>
        <v/>
      </c>
      <c r="S56" s="29" t="str">
        <f aca="false">IF(R56=1,COUNTIFS($F$5:$F$104,F56,$R$5:$R$104,1,$Q$5:$Q$104,"&lt;"&amp;Q56)+COUNTIFS($F$5:F56,F56,$R$5:R56,1,$Q$5:Q56,Q56),"")</f>
        <v/>
      </c>
      <c r="T56" s="29" t="str">
        <f aca="false">IF(S56="","",F56&amp;"|"&amp;S56)</f>
        <v/>
      </c>
      <c r="U56" s="29" t="str">
        <f aca="false">IF(S56="","",A56&amp;"  "&amp;B56&amp;CHAR(10)&amp;"👤 "&amp;D56&amp;"   📅 "&amp;IF(J56="","—",TEXT(DAY(J56),"00")&amp;"/"&amp;TEXT(MONTH(J56),"00"))&amp;CHAR(10)&amp;IF(E56="Haute","🔴 ",IF(E56="Moyenne","🟠 ","🟢 "))&amp;E56&amp;IF(N56="⚠ En retard","   ⚠ En retard",""))</f>
        <v/>
      </c>
    </row>
    <row r="57" customFormat="false" ht="15" hidden="false" customHeight="false" outlineLevel="0" collapsed="false">
      <c r="A57" s="22" t="str">
        <f aca="false">IF(B57="","","T-"&amp;TEXT(ROW()-4,"000"))</f>
        <v/>
      </c>
      <c r="B57" s="23"/>
      <c r="C57" s="23"/>
      <c r="D57" s="23"/>
      <c r="E57" s="23"/>
      <c r="F57" s="23"/>
      <c r="G57" s="23"/>
      <c r="H57" s="24"/>
      <c r="I57" s="24"/>
      <c r="J57" s="24"/>
      <c r="K57" s="24"/>
      <c r="L57" s="25" t="n">
        <f aca="false">IF(B57="",0,IFERROR(INDEX(Paramètres!$D$5:$D$9,MATCH(F57,Paramètres!$B$5:$B$9,0)),0))</f>
        <v>0</v>
      </c>
      <c r="M57" s="26" t="str">
        <f aca="false">IF(OR(B57="",J57="",F57=Paramètres!$B$9),"",J57-Paramètres!$C$12)</f>
        <v/>
      </c>
      <c r="N57" s="27" t="str">
        <f aca="false">IF(B57="","",IF(F57=Paramètres!$B$9,"✔ Terminé",IF(J57="","",IF(J57&lt;Paramètres!$C$12,"⚠ En retard",IF(J57-Paramètres!$C$12&lt;=Paramètres!$C$13,"⏰ Bientôt","OK")))))</f>
        <v/>
      </c>
      <c r="O57" s="26" t="str">
        <f aca="false">IF(OR(B57="",I57=""),"",IF(K57&lt;&gt;"",K57-I57,IF(F57=Paramètres!$B$9,"",Paramètres!$C$12-I57)))</f>
        <v/>
      </c>
      <c r="P57" s="26" t="str">
        <f aca="false">IF(OR(B57="",H57=""),"",IF(K57&lt;&gt;"",K57-H57,Paramètres!$C$12-H57))</f>
        <v/>
      </c>
      <c r="Q57" s="29" t="str">
        <f aca="false">IF(B57="","",IFERROR(MATCH(E57,Paramètres!$G$5:$G$7,0),99))</f>
        <v/>
      </c>
      <c r="R57" s="29" t="str">
        <f aca="false">IF(B57="","",IF(OR(Kanban!$C$3="Tous",D57=Kanban!$C$3),1,0))</f>
        <v/>
      </c>
      <c r="S57" s="29" t="str">
        <f aca="false">IF(R57=1,COUNTIFS($F$5:$F$104,F57,$R$5:$R$104,1,$Q$5:$Q$104,"&lt;"&amp;Q57)+COUNTIFS($F$5:F57,F57,$R$5:R57,1,$Q$5:Q57,Q57),"")</f>
        <v/>
      </c>
      <c r="T57" s="29" t="str">
        <f aca="false">IF(S57="","",F57&amp;"|"&amp;S57)</f>
        <v/>
      </c>
      <c r="U57" s="29" t="str">
        <f aca="false">IF(S57="","",A57&amp;"  "&amp;B57&amp;CHAR(10)&amp;"👤 "&amp;D57&amp;"   📅 "&amp;IF(J57="","—",TEXT(DAY(J57),"00")&amp;"/"&amp;TEXT(MONTH(J57),"00"))&amp;CHAR(10)&amp;IF(E57="Haute","🔴 ",IF(E57="Moyenne","🟠 ","🟢 "))&amp;E57&amp;IF(N57="⚠ En retard","   ⚠ En retard",""))</f>
        <v/>
      </c>
    </row>
    <row r="58" customFormat="false" ht="15" hidden="false" customHeight="false" outlineLevel="0" collapsed="false">
      <c r="A58" s="22" t="str">
        <f aca="false">IF(B58="","","T-"&amp;TEXT(ROW()-4,"000"))</f>
        <v/>
      </c>
      <c r="B58" s="23"/>
      <c r="C58" s="23"/>
      <c r="D58" s="23"/>
      <c r="E58" s="23"/>
      <c r="F58" s="23"/>
      <c r="G58" s="23"/>
      <c r="H58" s="24"/>
      <c r="I58" s="24"/>
      <c r="J58" s="24"/>
      <c r="K58" s="24"/>
      <c r="L58" s="25" t="n">
        <f aca="false">IF(B58="",0,IFERROR(INDEX(Paramètres!$D$5:$D$9,MATCH(F58,Paramètres!$B$5:$B$9,0)),0))</f>
        <v>0</v>
      </c>
      <c r="M58" s="26" t="str">
        <f aca="false">IF(OR(B58="",J58="",F58=Paramètres!$B$9),"",J58-Paramètres!$C$12)</f>
        <v/>
      </c>
      <c r="N58" s="27" t="str">
        <f aca="false">IF(B58="","",IF(F58=Paramètres!$B$9,"✔ Terminé",IF(J58="","",IF(J58&lt;Paramètres!$C$12,"⚠ En retard",IF(J58-Paramètres!$C$12&lt;=Paramètres!$C$13,"⏰ Bientôt","OK")))))</f>
        <v/>
      </c>
      <c r="O58" s="26" t="str">
        <f aca="false">IF(OR(B58="",I58=""),"",IF(K58&lt;&gt;"",K58-I58,IF(F58=Paramètres!$B$9,"",Paramètres!$C$12-I58)))</f>
        <v/>
      </c>
      <c r="P58" s="26" t="str">
        <f aca="false">IF(OR(B58="",H58=""),"",IF(K58&lt;&gt;"",K58-H58,Paramètres!$C$12-H58))</f>
        <v/>
      </c>
      <c r="Q58" s="29" t="str">
        <f aca="false">IF(B58="","",IFERROR(MATCH(E58,Paramètres!$G$5:$G$7,0),99))</f>
        <v/>
      </c>
      <c r="R58" s="29" t="str">
        <f aca="false">IF(B58="","",IF(OR(Kanban!$C$3="Tous",D58=Kanban!$C$3),1,0))</f>
        <v/>
      </c>
      <c r="S58" s="29" t="str">
        <f aca="false">IF(R58=1,COUNTIFS($F$5:$F$104,F58,$R$5:$R$104,1,$Q$5:$Q$104,"&lt;"&amp;Q58)+COUNTIFS($F$5:F58,F58,$R$5:R58,1,$Q$5:Q58,Q58),"")</f>
        <v/>
      </c>
      <c r="T58" s="29" t="str">
        <f aca="false">IF(S58="","",F58&amp;"|"&amp;S58)</f>
        <v/>
      </c>
      <c r="U58" s="29" t="str">
        <f aca="false">IF(S58="","",A58&amp;"  "&amp;B58&amp;CHAR(10)&amp;"👤 "&amp;D58&amp;"   📅 "&amp;IF(J58="","—",TEXT(DAY(J58),"00")&amp;"/"&amp;TEXT(MONTH(J58),"00"))&amp;CHAR(10)&amp;IF(E58="Haute","🔴 ",IF(E58="Moyenne","🟠 ","🟢 "))&amp;E58&amp;IF(N58="⚠ En retard","   ⚠ En retard",""))</f>
        <v/>
      </c>
    </row>
    <row r="59" customFormat="false" ht="15" hidden="false" customHeight="false" outlineLevel="0" collapsed="false">
      <c r="A59" s="22" t="str">
        <f aca="false">IF(B59="","","T-"&amp;TEXT(ROW()-4,"000"))</f>
        <v/>
      </c>
      <c r="B59" s="23"/>
      <c r="C59" s="23"/>
      <c r="D59" s="23"/>
      <c r="E59" s="23"/>
      <c r="F59" s="23"/>
      <c r="G59" s="23"/>
      <c r="H59" s="24"/>
      <c r="I59" s="24"/>
      <c r="J59" s="24"/>
      <c r="K59" s="24"/>
      <c r="L59" s="25" t="n">
        <f aca="false">IF(B59="",0,IFERROR(INDEX(Paramètres!$D$5:$D$9,MATCH(F59,Paramètres!$B$5:$B$9,0)),0))</f>
        <v>0</v>
      </c>
      <c r="M59" s="26" t="str">
        <f aca="false">IF(OR(B59="",J59="",F59=Paramètres!$B$9),"",J59-Paramètres!$C$12)</f>
        <v/>
      </c>
      <c r="N59" s="27" t="str">
        <f aca="false">IF(B59="","",IF(F59=Paramètres!$B$9,"✔ Terminé",IF(J59="","",IF(J59&lt;Paramètres!$C$12,"⚠ En retard",IF(J59-Paramètres!$C$12&lt;=Paramètres!$C$13,"⏰ Bientôt","OK")))))</f>
        <v/>
      </c>
      <c r="O59" s="26" t="str">
        <f aca="false">IF(OR(B59="",I59=""),"",IF(K59&lt;&gt;"",K59-I59,IF(F59=Paramètres!$B$9,"",Paramètres!$C$12-I59)))</f>
        <v/>
      </c>
      <c r="P59" s="26" t="str">
        <f aca="false">IF(OR(B59="",H59=""),"",IF(K59&lt;&gt;"",K59-H59,Paramètres!$C$12-H59))</f>
        <v/>
      </c>
      <c r="Q59" s="29" t="str">
        <f aca="false">IF(B59="","",IFERROR(MATCH(E59,Paramètres!$G$5:$G$7,0),99))</f>
        <v/>
      </c>
      <c r="R59" s="29" t="str">
        <f aca="false">IF(B59="","",IF(OR(Kanban!$C$3="Tous",D59=Kanban!$C$3),1,0))</f>
        <v/>
      </c>
      <c r="S59" s="29" t="str">
        <f aca="false">IF(R59=1,COUNTIFS($F$5:$F$104,F59,$R$5:$R$104,1,$Q$5:$Q$104,"&lt;"&amp;Q59)+COUNTIFS($F$5:F59,F59,$R$5:R59,1,$Q$5:Q59,Q59),"")</f>
        <v/>
      </c>
      <c r="T59" s="29" t="str">
        <f aca="false">IF(S59="","",F59&amp;"|"&amp;S59)</f>
        <v/>
      </c>
      <c r="U59" s="29" t="str">
        <f aca="false">IF(S59="","",A59&amp;"  "&amp;B59&amp;CHAR(10)&amp;"👤 "&amp;D59&amp;"   📅 "&amp;IF(J59="","—",TEXT(DAY(J59),"00")&amp;"/"&amp;TEXT(MONTH(J59),"00"))&amp;CHAR(10)&amp;IF(E59="Haute","🔴 ",IF(E59="Moyenne","🟠 ","🟢 "))&amp;E59&amp;IF(N59="⚠ En retard","   ⚠ En retard",""))</f>
        <v/>
      </c>
    </row>
    <row r="60" customFormat="false" ht="15" hidden="false" customHeight="false" outlineLevel="0" collapsed="false">
      <c r="A60" s="22" t="str">
        <f aca="false">IF(B60="","","T-"&amp;TEXT(ROW()-4,"000"))</f>
        <v/>
      </c>
      <c r="B60" s="23"/>
      <c r="C60" s="23"/>
      <c r="D60" s="23"/>
      <c r="E60" s="23"/>
      <c r="F60" s="23"/>
      <c r="G60" s="23"/>
      <c r="H60" s="24"/>
      <c r="I60" s="24"/>
      <c r="J60" s="24"/>
      <c r="K60" s="24"/>
      <c r="L60" s="25" t="n">
        <f aca="false">IF(B60="",0,IFERROR(INDEX(Paramètres!$D$5:$D$9,MATCH(F60,Paramètres!$B$5:$B$9,0)),0))</f>
        <v>0</v>
      </c>
      <c r="M60" s="26" t="str">
        <f aca="false">IF(OR(B60="",J60="",F60=Paramètres!$B$9),"",J60-Paramètres!$C$12)</f>
        <v/>
      </c>
      <c r="N60" s="27" t="str">
        <f aca="false">IF(B60="","",IF(F60=Paramètres!$B$9,"✔ Terminé",IF(J60="","",IF(J60&lt;Paramètres!$C$12,"⚠ En retard",IF(J60-Paramètres!$C$12&lt;=Paramètres!$C$13,"⏰ Bientôt","OK")))))</f>
        <v/>
      </c>
      <c r="O60" s="26" t="str">
        <f aca="false">IF(OR(B60="",I60=""),"",IF(K60&lt;&gt;"",K60-I60,IF(F60=Paramètres!$B$9,"",Paramètres!$C$12-I60)))</f>
        <v/>
      </c>
      <c r="P60" s="26" t="str">
        <f aca="false">IF(OR(B60="",H60=""),"",IF(K60&lt;&gt;"",K60-H60,Paramètres!$C$12-H60))</f>
        <v/>
      </c>
      <c r="Q60" s="29" t="str">
        <f aca="false">IF(B60="","",IFERROR(MATCH(E60,Paramètres!$G$5:$G$7,0),99))</f>
        <v/>
      </c>
      <c r="R60" s="29" t="str">
        <f aca="false">IF(B60="","",IF(OR(Kanban!$C$3="Tous",D60=Kanban!$C$3),1,0))</f>
        <v/>
      </c>
      <c r="S60" s="29" t="str">
        <f aca="false">IF(R60=1,COUNTIFS($F$5:$F$104,F60,$R$5:$R$104,1,$Q$5:$Q$104,"&lt;"&amp;Q60)+COUNTIFS($F$5:F60,F60,$R$5:R60,1,$Q$5:Q60,Q60),"")</f>
        <v/>
      </c>
      <c r="T60" s="29" t="str">
        <f aca="false">IF(S60="","",F60&amp;"|"&amp;S60)</f>
        <v/>
      </c>
      <c r="U60" s="29" t="str">
        <f aca="false">IF(S60="","",A60&amp;"  "&amp;B60&amp;CHAR(10)&amp;"👤 "&amp;D60&amp;"   📅 "&amp;IF(J60="","—",TEXT(DAY(J60),"00")&amp;"/"&amp;TEXT(MONTH(J60),"00"))&amp;CHAR(10)&amp;IF(E60="Haute","🔴 ",IF(E60="Moyenne","🟠 ","🟢 "))&amp;E60&amp;IF(N60="⚠ En retard","   ⚠ En retard",""))</f>
        <v/>
      </c>
    </row>
    <row r="61" customFormat="false" ht="15" hidden="false" customHeight="false" outlineLevel="0" collapsed="false">
      <c r="A61" s="22" t="str">
        <f aca="false">IF(B61="","","T-"&amp;TEXT(ROW()-4,"000"))</f>
        <v/>
      </c>
      <c r="B61" s="23"/>
      <c r="C61" s="23"/>
      <c r="D61" s="23"/>
      <c r="E61" s="23"/>
      <c r="F61" s="23"/>
      <c r="G61" s="23"/>
      <c r="H61" s="24"/>
      <c r="I61" s="24"/>
      <c r="J61" s="24"/>
      <c r="K61" s="24"/>
      <c r="L61" s="25" t="n">
        <f aca="false">IF(B61="",0,IFERROR(INDEX(Paramètres!$D$5:$D$9,MATCH(F61,Paramètres!$B$5:$B$9,0)),0))</f>
        <v>0</v>
      </c>
      <c r="M61" s="26" t="str">
        <f aca="false">IF(OR(B61="",J61="",F61=Paramètres!$B$9),"",J61-Paramètres!$C$12)</f>
        <v/>
      </c>
      <c r="N61" s="27" t="str">
        <f aca="false">IF(B61="","",IF(F61=Paramètres!$B$9,"✔ Terminé",IF(J61="","",IF(J61&lt;Paramètres!$C$12,"⚠ En retard",IF(J61-Paramètres!$C$12&lt;=Paramètres!$C$13,"⏰ Bientôt","OK")))))</f>
        <v/>
      </c>
      <c r="O61" s="26" t="str">
        <f aca="false">IF(OR(B61="",I61=""),"",IF(K61&lt;&gt;"",K61-I61,IF(F61=Paramètres!$B$9,"",Paramètres!$C$12-I61)))</f>
        <v/>
      </c>
      <c r="P61" s="26" t="str">
        <f aca="false">IF(OR(B61="",H61=""),"",IF(K61&lt;&gt;"",K61-H61,Paramètres!$C$12-H61))</f>
        <v/>
      </c>
      <c r="Q61" s="29" t="str">
        <f aca="false">IF(B61="","",IFERROR(MATCH(E61,Paramètres!$G$5:$G$7,0),99))</f>
        <v/>
      </c>
      <c r="R61" s="29" t="str">
        <f aca="false">IF(B61="","",IF(OR(Kanban!$C$3="Tous",D61=Kanban!$C$3),1,0))</f>
        <v/>
      </c>
      <c r="S61" s="29" t="str">
        <f aca="false">IF(R61=1,COUNTIFS($F$5:$F$104,F61,$R$5:$R$104,1,$Q$5:$Q$104,"&lt;"&amp;Q61)+COUNTIFS($F$5:F61,F61,$R$5:R61,1,$Q$5:Q61,Q61),"")</f>
        <v/>
      </c>
      <c r="T61" s="29" t="str">
        <f aca="false">IF(S61="","",F61&amp;"|"&amp;S61)</f>
        <v/>
      </c>
      <c r="U61" s="29" t="str">
        <f aca="false">IF(S61="","",A61&amp;"  "&amp;B61&amp;CHAR(10)&amp;"👤 "&amp;D61&amp;"   📅 "&amp;IF(J61="","—",TEXT(DAY(J61),"00")&amp;"/"&amp;TEXT(MONTH(J61),"00"))&amp;CHAR(10)&amp;IF(E61="Haute","🔴 ",IF(E61="Moyenne","🟠 ","🟢 "))&amp;E61&amp;IF(N61="⚠ En retard","   ⚠ En retard",""))</f>
        <v/>
      </c>
    </row>
    <row r="62" customFormat="false" ht="15" hidden="false" customHeight="false" outlineLevel="0" collapsed="false">
      <c r="A62" s="22" t="str">
        <f aca="false">IF(B62="","","T-"&amp;TEXT(ROW()-4,"000"))</f>
        <v/>
      </c>
      <c r="B62" s="23"/>
      <c r="C62" s="23"/>
      <c r="D62" s="23"/>
      <c r="E62" s="23"/>
      <c r="F62" s="23"/>
      <c r="G62" s="23"/>
      <c r="H62" s="24"/>
      <c r="I62" s="24"/>
      <c r="J62" s="24"/>
      <c r="K62" s="24"/>
      <c r="L62" s="25" t="n">
        <f aca="false">IF(B62="",0,IFERROR(INDEX(Paramètres!$D$5:$D$9,MATCH(F62,Paramètres!$B$5:$B$9,0)),0))</f>
        <v>0</v>
      </c>
      <c r="M62" s="26" t="str">
        <f aca="false">IF(OR(B62="",J62="",F62=Paramètres!$B$9),"",J62-Paramètres!$C$12)</f>
        <v/>
      </c>
      <c r="N62" s="27" t="str">
        <f aca="false">IF(B62="","",IF(F62=Paramètres!$B$9,"✔ Terminé",IF(J62="","",IF(J62&lt;Paramètres!$C$12,"⚠ En retard",IF(J62-Paramètres!$C$12&lt;=Paramètres!$C$13,"⏰ Bientôt","OK")))))</f>
        <v/>
      </c>
      <c r="O62" s="26" t="str">
        <f aca="false">IF(OR(B62="",I62=""),"",IF(K62&lt;&gt;"",K62-I62,IF(F62=Paramètres!$B$9,"",Paramètres!$C$12-I62)))</f>
        <v/>
      </c>
      <c r="P62" s="26" t="str">
        <f aca="false">IF(OR(B62="",H62=""),"",IF(K62&lt;&gt;"",K62-H62,Paramètres!$C$12-H62))</f>
        <v/>
      </c>
      <c r="Q62" s="29" t="str">
        <f aca="false">IF(B62="","",IFERROR(MATCH(E62,Paramètres!$G$5:$G$7,0),99))</f>
        <v/>
      </c>
      <c r="R62" s="29" t="str">
        <f aca="false">IF(B62="","",IF(OR(Kanban!$C$3="Tous",D62=Kanban!$C$3),1,0))</f>
        <v/>
      </c>
      <c r="S62" s="29" t="str">
        <f aca="false">IF(R62=1,COUNTIFS($F$5:$F$104,F62,$R$5:$R$104,1,$Q$5:$Q$104,"&lt;"&amp;Q62)+COUNTIFS($F$5:F62,F62,$R$5:R62,1,$Q$5:Q62,Q62),"")</f>
        <v/>
      </c>
      <c r="T62" s="29" t="str">
        <f aca="false">IF(S62="","",F62&amp;"|"&amp;S62)</f>
        <v/>
      </c>
      <c r="U62" s="29" t="str">
        <f aca="false">IF(S62="","",A62&amp;"  "&amp;B62&amp;CHAR(10)&amp;"👤 "&amp;D62&amp;"   📅 "&amp;IF(J62="","—",TEXT(DAY(J62),"00")&amp;"/"&amp;TEXT(MONTH(J62),"00"))&amp;CHAR(10)&amp;IF(E62="Haute","🔴 ",IF(E62="Moyenne","🟠 ","🟢 "))&amp;E62&amp;IF(N62="⚠ En retard","   ⚠ En retard",""))</f>
        <v/>
      </c>
    </row>
    <row r="63" customFormat="false" ht="15" hidden="false" customHeight="false" outlineLevel="0" collapsed="false">
      <c r="A63" s="22" t="str">
        <f aca="false">IF(B63="","","T-"&amp;TEXT(ROW()-4,"000"))</f>
        <v/>
      </c>
      <c r="B63" s="23"/>
      <c r="C63" s="23"/>
      <c r="D63" s="23"/>
      <c r="E63" s="23"/>
      <c r="F63" s="23"/>
      <c r="G63" s="23"/>
      <c r="H63" s="24"/>
      <c r="I63" s="24"/>
      <c r="J63" s="24"/>
      <c r="K63" s="24"/>
      <c r="L63" s="25" t="n">
        <f aca="false">IF(B63="",0,IFERROR(INDEX(Paramètres!$D$5:$D$9,MATCH(F63,Paramètres!$B$5:$B$9,0)),0))</f>
        <v>0</v>
      </c>
      <c r="M63" s="26" t="str">
        <f aca="false">IF(OR(B63="",J63="",F63=Paramètres!$B$9),"",J63-Paramètres!$C$12)</f>
        <v/>
      </c>
      <c r="N63" s="27" t="str">
        <f aca="false">IF(B63="","",IF(F63=Paramètres!$B$9,"✔ Terminé",IF(J63="","",IF(J63&lt;Paramètres!$C$12,"⚠ En retard",IF(J63-Paramètres!$C$12&lt;=Paramètres!$C$13,"⏰ Bientôt","OK")))))</f>
        <v/>
      </c>
      <c r="O63" s="26" t="str">
        <f aca="false">IF(OR(B63="",I63=""),"",IF(K63&lt;&gt;"",K63-I63,IF(F63=Paramètres!$B$9,"",Paramètres!$C$12-I63)))</f>
        <v/>
      </c>
      <c r="P63" s="26" t="str">
        <f aca="false">IF(OR(B63="",H63=""),"",IF(K63&lt;&gt;"",K63-H63,Paramètres!$C$12-H63))</f>
        <v/>
      </c>
      <c r="Q63" s="29" t="str">
        <f aca="false">IF(B63="","",IFERROR(MATCH(E63,Paramètres!$G$5:$G$7,0),99))</f>
        <v/>
      </c>
      <c r="R63" s="29" t="str">
        <f aca="false">IF(B63="","",IF(OR(Kanban!$C$3="Tous",D63=Kanban!$C$3),1,0))</f>
        <v/>
      </c>
      <c r="S63" s="29" t="str">
        <f aca="false">IF(R63=1,COUNTIFS($F$5:$F$104,F63,$R$5:$R$104,1,$Q$5:$Q$104,"&lt;"&amp;Q63)+COUNTIFS($F$5:F63,F63,$R$5:R63,1,$Q$5:Q63,Q63),"")</f>
        <v/>
      </c>
      <c r="T63" s="29" t="str">
        <f aca="false">IF(S63="","",F63&amp;"|"&amp;S63)</f>
        <v/>
      </c>
      <c r="U63" s="29" t="str">
        <f aca="false">IF(S63="","",A63&amp;"  "&amp;B63&amp;CHAR(10)&amp;"👤 "&amp;D63&amp;"   📅 "&amp;IF(J63="","—",TEXT(DAY(J63),"00")&amp;"/"&amp;TEXT(MONTH(J63),"00"))&amp;CHAR(10)&amp;IF(E63="Haute","🔴 ",IF(E63="Moyenne","🟠 ","🟢 "))&amp;E63&amp;IF(N63="⚠ En retard","   ⚠ En retard",""))</f>
        <v/>
      </c>
    </row>
    <row r="64" customFormat="false" ht="15" hidden="false" customHeight="false" outlineLevel="0" collapsed="false">
      <c r="A64" s="22" t="str">
        <f aca="false">IF(B64="","","T-"&amp;TEXT(ROW()-4,"000"))</f>
        <v/>
      </c>
      <c r="B64" s="23"/>
      <c r="C64" s="23"/>
      <c r="D64" s="23"/>
      <c r="E64" s="23"/>
      <c r="F64" s="23"/>
      <c r="G64" s="23"/>
      <c r="H64" s="24"/>
      <c r="I64" s="24"/>
      <c r="J64" s="24"/>
      <c r="K64" s="24"/>
      <c r="L64" s="25" t="n">
        <f aca="false">IF(B64="",0,IFERROR(INDEX(Paramètres!$D$5:$D$9,MATCH(F64,Paramètres!$B$5:$B$9,0)),0))</f>
        <v>0</v>
      </c>
      <c r="M64" s="26" t="str">
        <f aca="false">IF(OR(B64="",J64="",F64=Paramètres!$B$9),"",J64-Paramètres!$C$12)</f>
        <v/>
      </c>
      <c r="N64" s="27" t="str">
        <f aca="false">IF(B64="","",IF(F64=Paramètres!$B$9,"✔ Terminé",IF(J64="","",IF(J64&lt;Paramètres!$C$12,"⚠ En retard",IF(J64-Paramètres!$C$12&lt;=Paramètres!$C$13,"⏰ Bientôt","OK")))))</f>
        <v/>
      </c>
      <c r="O64" s="26" t="str">
        <f aca="false">IF(OR(B64="",I64=""),"",IF(K64&lt;&gt;"",K64-I64,IF(F64=Paramètres!$B$9,"",Paramètres!$C$12-I64)))</f>
        <v/>
      </c>
      <c r="P64" s="26" t="str">
        <f aca="false">IF(OR(B64="",H64=""),"",IF(K64&lt;&gt;"",K64-H64,Paramètres!$C$12-H64))</f>
        <v/>
      </c>
      <c r="Q64" s="29" t="str">
        <f aca="false">IF(B64="","",IFERROR(MATCH(E64,Paramètres!$G$5:$G$7,0),99))</f>
        <v/>
      </c>
      <c r="R64" s="29" t="str">
        <f aca="false">IF(B64="","",IF(OR(Kanban!$C$3="Tous",D64=Kanban!$C$3),1,0))</f>
        <v/>
      </c>
      <c r="S64" s="29" t="str">
        <f aca="false">IF(R64=1,COUNTIFS($F$5:$F$104,F64,$R$5:$R$104,1,$Q$5:$Q$104,"&lt;"&amp;Q64)+COUNTIFS($F$5:F64,F64,$R$5:R64,1,$Q$5:Q64,Q64),"")</f>
        <v/>
      </c>
      <c r="T64" s="29" t="str">
        <f aca="false">IF(S64="","",F64&amp;"|"&amp;S64)</f>
        <v/>
      </c>
      <c r="U64" s="29" t="str">
        <f aca="false">IF(S64="","",A64&amp;"  "&amp;B64&amp;CHAR(10)&amp;"👤 "&amp;D64&amp;"   📅 "&amp;IF(J64="","—",TEXT(DAY(J64),"00")&amp;"/"&amp;TEXT(MONTH(J64),"00"))&amp;CHAR(10)&amp;IF(E64="Haute","🔴 ",IF(E64="Moyenne","🟠 ","🟢 "))&amp;E64&amp;IF(N64="⚠ En retard","   ⚠ En retard",""))</f>
        <v/>
      </c>
    </row>
    <row r="65" customFormat="false" ht="15" hidden="false" customHeight="false" outlineLevel="0" collapsed="false">
      <c r="A65" s="22" t="str">
        <f aca="false">IF(B65="","","T-"&amp;TEXT(ROW()-4,"000"))</f>
        <v/>
      </c>
      <c r="B65" s="23"/>
      <c r="C65" s="23"/>
      <c r="D65" s="23"/>
      <c r="E65" s="23"/>
      <c r="F65" s="23"/>
      <c r="G65" s="23"/>
      <c r="H65" s="24"/>
      <c r="I65" s="24"/>
      <c r="J65" s="24"/>
      <c r="K65" s="24"/>
      <c r="L65" s="25" t="n">
        <f aca="false">IF(B65="",0,IFERROR(INDEX(Paramètres!$D$5:$D$9,MATCH(F65,Paramètres!$B$5:$B$9,0)),0))</f>
        <v>0</v>
      </c>
      <c r="M65" s="26" t="str">
        <f aca="false">IF(OR(B65="",J65="",F65=Paramètres!$B$9),"",J65-Paramètres!$C$12)</f>
        <v/>
      </c>
      <c r="N65" s="27" t="str">
        <f aca="false">IF(B65="","",IF(F65=Paramètres!$B$9,"✔ Terminé",IF(J65="","",IF(J65&lt;Paramètres!$C$12,"⚠ En retard",IF(J65-Paramètres!$C$12&lt;=Paramètres!$C$13,"⏰ Bientôt","OK")))))</f>
        <v/>
      </c>
      <c r="O65" s="26" t="str">
        <f aca="false">IF(OR(B65="",I65=""),"",IF(K65&lt;&gt;"",K65-I65,IF(F65=Paramètres!$B$9,"",Paramètres!$C$12-I65)))</f>
        <v/>
      </c>
      <c r="P65" s="26" t="str">
        <f aca="false">IF(OR(B65="",H65=""),"",IF(K65&lt;&gt;"",K65-H65,Paramètres!$C$12-H65))</f>
        <v/>
      </c>
      <c r="Q65" s="29" t="str">
        <f aca="false">IF(B65="","",IFERROR(MATCH(E65,Paramètres!$G$5:$G$7,0),99))</f>
        <v/>
      </c>
      <c r="R65" s="29" t="str">
        <f aca="false">IF(B65="","",IF(OR(Kanban!$C$3="Tous",D65=Kanban!$C$3),1,0))</f>
        <v/>
      </c>
      <c r="S65" s="29" t="str">
        <f aca="false">IF(R65=1,COUNTIFS($F$5:$F$104,F65,$R$5:$R$104,1,$Q$5:$Q$104,"&lt;"&amp;Q65)+COUNTIFS($F$5:F65,F65,$R$5:R65,1,$Q$5:Q65,Q65),"")</f>
        <v/>
      </c>
      <c r="T65" s="29" t="str">
        <f aca="false">IF(S65="","",F65&amp;"|"&amp;S65)</f>
        <v/>
      </c>
      <c r="U65" s="29" t="str">
        <f aca="false">IF(S65="","",A65&amp;"  "&amp;B65&amp;CHAR(10)&amp;"👤 "&amp;D65&amp;"   📅 "&amp;IF(J65="","—",TEXT(DAY(J65),"00")&amp;"/"&amp;TEXT(MONTH(J65),"00"))&amp;CHAR(10)&amp;IF(E65="Haute","🔴 ",IF(E65="Moyenne","🟠 ","🟢 "))&amp;E65&amp;IF(N65="⚠ En retard","   ⚠ En retard",""))</f>
        <v/>
      </c>
    </row>
    <row r="66" customFormat="false" ht="15" hidden="false" customHeight="false" outlineLevel="0" collapsed="false">
      <c r="A66" s="22" t="str">
        <f aca="false">IF(B66="","","T-"&amp;TEXT(ROW()-4,"000"))</f>
        <v/>
      </c>
      <c r="B66" s="23"/>
      <c r="C66" s="23"/>
      <c r="D66" s="23"/>
      <c r="E66" s="23"/>
      <c r="F66" s="23"/>
      <c r="G66" s="23"/>
      <c r="H66" s="24"/>
      <c r="I66" s="24"/>
      <c r="J66" s="24"/>
      <c r="K66" s="24"/>
      <c r="L66" s="25" t="n">
        <f aca="false">IF(B66="",0,IFERROR(INDEX(Paramètres!$D$5:$D$9,MATCH(F66,Paramètres!$B$5:$B$9,0)),0))</f>
        <v>0</v>
      </c>
      <c r="M66" s="26" t="str">
        <f aca="false">IF(OR(B66="",J66="",F66=Paramètres!$B$9),"",J66-Paramètres!$C$12)</f>
        <v/>
      </c>
      <c r="N66" s="27" t="str">
        <f aca="false">IF(B66="","",IF(F66=Paramètres!$B$9,"✔ Terminé",IF(J66="","",IF(J66&lt;Paramètres!$C$12,"⚠ En retard",IF(J66-Paramètres!$C$12&lt;=Paramètres!$C$13,"⏰ Bientôt","OK")))))</f>
        <v/>
      </c>
      <c r="O66" s="26" t="str">
        <f aca="false">IF(OR(B66="",I66=""),"",IF(K66&lt;&gt;"",K66-I66,IF(F66=Paramètres!$B$9,"",Paramètres!$C$12-I66)))</f>
        <v/>
      </c>
      <c r="P66" s="26" t="str">
        <f aca="false">IF(OR(B66="",H66=""),"",IF(K66&lt;&gt;"",K66-H66,Paramètres!$C$12-H66))</f>
        <v/>
      </c>
      <c r="Q66" s="29" t="str">
        <f aca="false">IF(B66="","",IFERROR(MATCH(E66,Paramètres!$G$5:$G$7,0),99))</f>
        <v/>
      </c>
      <c r="R66" s="29" t="str">
        <f aca="false">IF(B66="","",IF(OR(Kanban!$C$3="Tous",D66=Kanban!$C$3),1,0))</f>
        <v/>
      </c>
      <c r="S66" s="29" t="str">
        <f aca="false">IF(R66=1,COUNTIFS($F$5:$F$104,F66,$R$5:$R$104,1,$Q$5:$Q$104,"&lt;"&amp;Q66)+COUNTIFS($F$5:F66,F66,$R$5:R66,1,$Q$5:Q66,Q66),"")</f>
        <v/>
      </c>
      <c r="T66" s="29" t="str">
        <f aca="false">IF(S66="","",F66&amp;"|"&amp;S66)</f>
        <v/>
      </c>
      <c r="U66" s="29" t="str">
        <f aca="false">IF(S66="","",A66&amp;"  "&amp;B66&amp;CHAR(10)&amp;"👤 "&amp;D66&amp;"   📅 "&amp;IF(J66="","—",TEXT(DAY(J66),"00")&amp;"/"&amp;TEXT(MONTH(J66),"00"))&amp;CHAR(10)&amp;IF(E66="Haute","🔴 ",IF(E66="Moyenne","🟠 ","🟢 "))&amp;E66&amp;IF(N66="⚠ En retard","   ⚠ En retard",""))</f>
        <v/>
      </c>
    </row>
    <row r="67" customFormat="false" ht="15" hidden="false" customHeight="false" outlineLevel="0" collapsed="false">
      <c r="A67" s="22" t="str">
        <f aca="false">IF(B67="","","T-"&amp;TEXT(ROW()-4,"000"))</f>
        <v/>
      </c>
      <c r="B67" s="23"/>
      <c r="C67" s="23"/>
      <c r="D67" s="23"/>
      <c r="E67" s="23"/>
      <c r="F67" s="23"/>
      <c r="G67" s="23"/>
      <c r="H67" s="24"/>
      <c r="I67" s="24"/>
      <c r="J67" s="24"/>
      <c r="K67" s="24"/>
      <c r="L67" s="25" t="n">
        <f aca="false">IF(B67="",0,IFERROR(INDEX(Paramètres!$D$5:$D$9,MATCH(F67,Paramètres!$B$5:$B$9,0)),0))</f>
        <v>0</v>
      </c>
      <c r="M67" s="26" t="str">
        <f aca="false">IF(OR(B67="",J67="",F67=Paramètres!$B$9),"",J67-Paramètres!$C$12)</f>
        <v/>
      </c>
      <c r="N67" s="27" t="str">
        <f aca="false">IF(B67="","",IF(F67=Paramètres!$B$9,"✔ Terminé",IF(J67="","",IF(J67&lt;Paramètres!$C$12,"⚠ En retard",IF(J67-Paramètres!$C$12&lt;=Paramètres!$C$13,"⏰ Bientôt","OK")))))</f>
        <v/>
      </c>
      <c r="O67" s="26" t="str">
        <f aca="false">IF(OR(B67="",I67=""),"",IF(K67&lt;&gt;"",K67-I67,IF(F67=Paramètres!$B$9,"",Paramètres!$C$12-I67)))</f>
        <v/>
      </c>
      <c r="P67" s="26" t="str">
        <f aca="false">IF(OR(B67="",H67=""),"",IF(K67&lt;&gt;"",K67-H67,Paramètres!$C$12-H67))</f>
        <v/>
      </c>
      <c r="Q67" s="29" t="str">
        <f aca="false">IF(B67="","",IFERROR(MATCH(E67,Paramètres!$G$5:$G$7,0),99))</f>
        <v/>
      </c>
      <c r="R67" s="29" t="str">
        <f aca="false">IF(B67="","",IF(OR(Kanban!$C$3="Tous",D67=Kanban!$C$3),1,0))</f>
        <v/>
      </c>
      <c r="S67" s="29" t="str">
        <f aca="false">IF(R67=1,COUNTIFS($F$5:$F$104,F67,$R$5:$R$104,1,$Q$5:$Q$104,"&lt;"&amp;Q67)+COUNTIFS($F$5:F67,F67,$R$5:R67,1,$Q$5:Q67,Q67),"")</f>
        <v/>
      </c>
      <c r="T67" s="29" t="str">
        <f aca="false">IF(S67="","",F67&amp;"|"&amp;S67)</f>
        <v/>
      </c>
      <c r="U67" s="29" t="str">
        <f aca="false">IF(S67="","",A67&amp;"  "&amp;B67&amp;CHAR(10)&amp;"👤 "&amp;D67&amp;"   📅 "&amp;IF(J67="","—",TEXT(DAY(J67),"00")&amp;"/"&amp;TEXT(MONTH(J67),"00"))&amp;CHAR(10)&amp;IF(E67="Haute","🔴 ",IF(E67="Moyenne","🟠 ","🟢 "))&amp;E67&amp;IF(N67="⚠ En retard","   ⚠ En retard",""))</f>
        <v/>
      </c>
    </row>
    <row r="68" customFormat="false" ht="15" hidden="false" customHeight="false" outlineLevel="0" collapsed="false">
      <c r="A68" s="22" t="str">
        <f aca="false">IF(B68="","","T-"&amp;TEXT(ROW()-4,"000"))</f>
        <v/>
      </c>
      <c r="B68" s="23"/>
      <c r="C68" s="23"/>
      <c r="D68" s="23"/>
      <c r="E68" s="23"/>
      <c r="F68" s="23"/>
      <c r="G68" s="23"/>
      <c r="H68" s="24"/>
      <c r="I68" s="24"/>
      <c r="J68" s="24"/>
      <c r="K68" s="24"/>
      <c r="L68" s="25" t="n">
        <f aca="false">IF(B68="",0,IFERROR(INDEX(Paramètres!$D$5:$D$9,MATCH(F68,Paramètres!$B$5:$B$9,0)),0))</f>
        <v>0</v>
      </c>
      <c r="M68" s="26" t="str">
        <f aca="false">IF(OR(B68="",J68="",F68=Paramètres!$B$9),"",J68-Paramètres!$C$12)</f>
        <v/>
      </c>
      <c r="N68" s="27" t="str">
        <f aca="false">IF(B68="","",IF(F68=Paramètres!$B$9,"✔ Terminé",IF(J68="","",IF(J68&lt;Paramètres!$C$12,"⚠ En retard",IF(J68-Paramètres!$C$12&lt;=Paramètres!$C$13,"⏰ Bientôt","OK")))))</f>
        <v/>
      </c>
      <c r="O68" s="26" t="str">
        <f aca="false">IF(OR(B68="",I68=""),"",IF(K68&lt;&gt;"",K68-I68,IF(F68=Paramètres!$B$9,"",Paramètres!$C$12-I68)))</f>
        <v/>
      </c>
      <c r="P68" s="26" t="str">
        <f aca="false">IF(OR(B68="",H68=""),"",IF(K68&lt;&gt;"",K68-H68,Paramètres!$C$12-H68))</f>
        <v/>
      </c>
      <c r="Q68" s="29" t="str">
        <f aca="false">IF(B68="","",IFERROR(MATCH(E68,Paramètres!$G$5:$G$7,0),99))</f>
        <v/>
      </c>
      <c r="R68" s="29" t="str">
        <f aca="false">IF(B68="","",IF(OR(Kanban!$C$3="Tous",D68=Kanban!$C$3),1,0))</f>
        <v/>
      </c>
      <c r="S68" s="29" t="str">
        <f aca="false">IF(R68=1,COUNTIFS($F$5:$F$104,F68,$R$5:$R$104,1,$Q$5:$Q$104,"&lt;"&amp;Q68)+COUNTIFS($F$5:F68,F68,$R$5:R68,1,$Q$5:Q68,Q68),"")</f>
        <v/>
      </c>
      <c r="T68" s="29" t="str">
        <f aca="false">IF(S68="","",F68&amp;"|"&amp;S68)</f>
        <v/>
      </c>
      <c r="U68" s="29" t="str">
        <f aca="false">IF(S68="","",A68&amp;"  "&amp;B68&amp;CHAR(10)&amp;"👤 "&amp;D68&amp;"   📅 "&amp;IF(J68="","—",TEXT(DAY(J68),"00")&amp;"/"&amp;TEXT(MONTH(J68),"00"))&amp;CHAR(10)&amp;IF(E68="Haute","🔴 ",IF(E68="Moyenne","🟠 ","🟢 "))&amp;E68&amp;IF(N68="⚠ En retard","   ⚠ En retard",""))</f>
        <v/>
      </c>
    </row>
    <row r="69" customFormat="false" ht="15" hidden="false" customHeight="false" outlineLevel="0" collapsed="false">
      <c r="A69" s="22" t="str">
        <f aca="false">IF(B69="","","T-"&amp;TEXT(ROW()-4,"000"))</f>
        <v/>
      </c>
      <c r="B69" s="23"/>
      <c r="C69" s="23"/>
      <c r="D69" s="23"/>
      <c r="E69" s="23"/>
      <c r="F69" s="23"/>
      <c r="G69" s="23"/>
      <c r="H69" s="24"/>
      <c r="I69" s="24"/>
      <c r="J69" s="24"/>
      <c r="K69" s="24"/>
      <c r="L69" s="25" t="n">
        <f aca="false">IF(B69="",0,IFERROR(INDEX(Paramètres!$D$5:$D$9,MATCH(F69,Paramètres!$B$5:$B$9,0)),0))</f>
        <v>0</v>
      </c>
      <c r="M69" s="26" t="str">
        <f aca="false">IF(OR(B69="",J69="",F69=Paramètres!$B$9),"",J69-Paramètres!$C$12)</f>
        <v/>
      </c>
      <c r="N69" s="27" t="str">
        <f aca="false">IF(B69="","",IF(F69=Paramètres!$B$9,"✔ Terminé",IF(J69="","",IF(J69&lt;Paramètres!$C$12,"⚠ En retard",IF(J69-Paramètres!$C$12&lt;=Paramètres!$C$13,"⏰ Bientôt","OK")))))</f>
        <v/>
      </c>
      <c r="O69" s="26" t="str">
        <f aca="false">IF(OR(B69="",I69=""),"",IF(K69&lt;&gt;"",K69-I69,IF(F69=Paramètres!$B$9,"",Paramètres!$C$12-I69)))</f>
        <v/>
      </c>
      <c r="P69" s="26" t="str">
        <f aca="false">IF(OR(B69="",H69=""),"",IF(K69&lt;&gt;"",K69-H69,Paramètres!$C$12-H69))</f>
        <v/>
      </c>
      <c r="Q69" s="29" t="str">
        <f aca="false">IF(B69="","",IFERROR(MATCH(E69,Paramètres!$G$5:$G$7,0),99))</f>
        <v/>
      </c>
      <c r="R69" s="29" t="str">
        <f aca="false">IF(B69="","",IF(OR(Kanban!$C$3="Tous",D69=Kanban!$C$3),1,0))</f>
        <v/>
      </c>
      <c r="S69" s="29" t="str">
        <f aca="false">IF(R69=1,COUNTIFS($F$5:$F$104,F69,$R$5:$R$104,1,$Q$5:$Q$104,"&lt;"&amp;Q69)+COUNTIFS($F$5:F69,F69,$R$5:R69,1,$Q$5:Q69,Q69),"")</f>
        <v/>
      </c>
      <c r="T69" s="29" t="str">
        <f aca="false">IF(S69="","",F69&amp;"|"&amp;S69)</f>
        <v/>
      </c>
      <c r="U69" s="29" t="str">
        <f aca="false">IF(S69="","",A69&amp;"  "&amp;B69&amp;CHAR(10)&amp;"👤 "&amp;D69&amp;"   📅 "&amp;IF(J69="","—",TEXT(DAY(J69),"00")&amp;"/"&amp;TEXT(MONTH(J69),"00"))&amp;CHAR(10)&amp;IF(E69="Haute","🔴 ",IF(E69="Moyenne","🟠 ","🟢 "))&amp;E69&amp;IF(N69="⚠ En retard","   ⚠ En retard",""))</f>
        <v/>
      </c>
    </row>
    <row r="70" customFormat="false" ht="15" hidden="false" customHeight="false" outlineLevel="0" collapsed="false">
      <c r="A70" s="22" t="str">
        <f aca="false">IF(B70="","","T-"&amp;TEXT(ROW()-4,"000"))</f>
        <v/>
      </c>
      <c r="B70" s="23"/>
      <c r="C70" s="23"/>
      <c r="D70" s="23"/>
      <c r="E70" s="23"/>
      <c r="F70" s="23"/>
      <c r="G70" s="23"/>
      <c r="H70" s="24"/>
      <c r="I70" s="24"/>
      <c r="J70" s="24"/>
      <c r="K70" s="24"/>
      <c r="L70" s="25" t="n">
        <f aca="false">IF(B70="",0,IFERROR(INDEX(Paramètres!$D$5:$D$9,MATCH(F70,Paramètres!$B$5:$B$9,0)),0))</f>
        <v>0</v>
      </c>
      <c r="M70" s="26" t="str">
        <f aca="false">IF(OR(B70="",J70="",F70=Paramètres!$B$9),"",J70-Paramètres!$C$12)</f>
        <v/>
      </c>
      <c r="N70" s="27" t="str">
        <f aca="false">IF(B70="","",IF(F70=Paramètres!$B$9,"✔ Terminé",IF(J70="","",IF(J70&lt;Paramètres!$C$12,"⚠ En retard",IF(J70-Paramètres!$C$12&lt;=Paramètres!$C$13,"⏰ Bientôt","OK")))))</f>
        <v/>
      </c>
      <c r="O70" s="26" t="str">
        <f aca="false">IF(OR(B70="",I70=""),"",IF(K70&lt;&gt;"",K70-I70,IF(F70=Paramètres!$B$9,"",Paramètres!$C$12-I70)))</f>
        <v/>
      </c>
      <c r="P70" s="26" t="str">
        <f aca="false">IF(OR(B70="",H70=""),"",IF(K70&lt;&gt;"",K70-H70,Paramètres!$C$12-H70))</f>
        <v/>
      </c>
      <c r="Q70" s="29" t="str">
        <f aca="false">IF(B70="","",IFERROR(MATCH(E70,Paramètres!$G$5:$G$7,0),99))</f>
        <v/>
      </c>
      <c r="R70" s="29" t="str">
        <f aca="false">IF(B70="","",IF(OR(Kanban!$C$3="Tous",D70=Kanban!$C$3),1,0))</f>
        <v/>
      </c>
      <c r="S70" s="29" t="str">
        <f aca="false">IF(R70=1,COUNTIFS($F$5:$F$104,F70,$R$5:$R$104,1,$Q$5:$Q$104,"&lt;"&amp;Q70)+COUNTIFS($F$5:F70,F70,$R$5:R70,1,$Q$5:Q70,Q70),"")</f>
        <v/>
      </c>
      <c r="T70" s="29" t="str">
        <f aca="false">IF(S70="","",F70&amp;"|"&amp;S70)</f>
        <v/>
      </c>
      <c r="U70" s="29" t="str">
        <f aca="false">IF(S70="","",A70&amp;"  "&amp;B70&amp;CHAR(10)&amp;"👤 "&amp;D70&amp;"   📅 "&amp;IF(J70="","—",TEXT(DAY(J70),"00")&amp;"/"&amp;TEXT(MONTH(J70),"00"))&amp;CHAR(10)&amp;IF(E70="Haute","🔴 ",IF(E70="Moyenne","🟠 ","🟢 "))&amp;E70&amp;IF(N70="⚠ En retard","   ⚠ En retard",""))</f>
        <v/>
      </c>
    </row>
    <row r="71" customFormat="false" ht="15" hidden="false" customHeight="false" outlineLevel="0" collapsed="false">
      <c r="A71" s="22" t="str">
        <f aca="false">IF(B71="","","T-"&amp;TEXT(ROW()-4,"000"))</f>
        <v/>
      </c>
      <c r="B71" s="23"/>
      <c r="C71" s="23"/>
      <c r="D71" s="23"/>
      <c r="E71" s="23"/>
      <c r="F71" s="23"/>
      <c r="G71" s="23"/>
      <c r="H71" s="24"/>
      <c r="I71" s="24"/>
      <c r="J71" s="24"/>
      <c r="K71" s="24"/>
      <c r="L71" s="25" t="n">
        <f aca="false">IF(B71="",0,IFERROR(INDEX(Paramètres!$D$5:$D$9,MATCH(F71,Paramètres!$B$5:$B$9,0)),0))</f>
        <v>0</v>
      </c>
      <c r="M71" s="26" t="str">
        <f aca="false">IF(OR(B71="",J71="",F71=Paramètres!$B$9),"",J71-Paramètres!$C$12)</f>
        <v/>
      </c>
      <c r="N71" s="27" t="str">
        <f aca="false">IF(B71="","",IF(F71=Paramètres!$B$9,"✔ Terminé",IF(J71="","",IF(J71&lt;Paramètres!$C$12,"⚠ En retard",IF(J71-Paramètres!$C$12&lt;=Paramètres!$C$13,"⏰ Bientôt","OK")))))</f>
        <v/>
      </c>
      <c r="O71" s="26" t="str">
        <f aca="false">IF(OR(B71="",I71=""),"",IF(K71&lt;&gt;"",K71-I71,IF(F71=Paramètres!$B$9,"",Paramètres!$C$12-I71)))</f>
        <v/>
      </c>
      <c r="P71" s="26" t="str">
        <f aca="false">IF(OR(B71="",H71=""),"",IF(K71&lt;&gt;"",K71-H71,Paramètres!$C$12-H71))</f>
        <v/>
      </c>
      <c r="Q71" s="29" t="str">
        <f aca="false">IF(B71="","",IFERROR(MATCH(E71,Paramètres!$G$5:$G$7,0),99))</f>
        <v/>
      </c>
      <c r="R71" s="29" t="str">
        <f aca="false">IF(B71="","",IF(OR(Kanban!$C$3="Tous",D71=Kanban!$C$3),1,0))</f>
        <v/>
      </c>
      <c r="S71" s="29" t="str">
        <f aca="false">IF(R71=1,COUNTIFS($F$5:$F$104,F71,$R$5:$R$104,1,$Q$5:$Q$104,"&lt;"&amp;Q71)+COUNTIFS($F$5:F71,F71,$R$5:R71,1,$Q$5:Q71,Q71),"")</f>
        <v/>
      </c>
      <c r="T71" s="29" t="str">
        <f aca="false">IF(S71="","",F71&amp;"|"&amp;S71)</f>
        <v/>
      </c>
      <c r="U71" s="29" t="str">
        <f aca="false">IF(S71="","",A71&amp;"  "&amp;B71&amp;CHAR(10)&amp;"👤 "&amp;D71&amp;"   📅 "&amp;IF(J71="","—",TEXT(DAY(J71),"00")&amp;"/"&amp;TEXT(MONTH(J71),"00"))&amp;CHAR(10)&amp;IF(E71="Haute","🔴 ",IF(E71="Moyenne","🟠 ","🟢 "))&amp;E71&amp;IF(N71="⚠ En retard","   ⚠ En retard",""))</f>
        <v/>
      </c>
    </row>
    <row r="72" customFormat="false" ht="15" hidden="false" customHeight="false" outlineLevel="0" collapsed="false">
      <c r="A72" s="22" t="str">
        <f aca="false">IF(B72="","","T-"&amp;TEXT(ROW()-4,"000"))</f>
        <v/>
      </c>
      <c r="B72" s="23"/>
      <c r="C72" s="23"/>
      <c r="D72" s="23"/>
      <c r="E72" s="23"/>
      <c r="F72" s="23"/>
      <c r="G72" s="23"/>
      <c r="H72" s="24"/>
      <c r="I72" s="24"/>
      <c r="J72" s="24"/>
      <c r="K72" s="24"/>
      <c r="L72" s="25" t="n">
        <f aca="false">IF(B72="",0,IFERROR(INDEX(Paramètres!$D$5:$D$9,MATCH(F72,Paramètres!$B$5:$B$9,0)),0))</f>
        <v>0</v>
      </c>
      <c r="M72" s="26" t="str">
        <f aca="false">IF(OR(B72="",J72="",F72=Paramètres!$B$9),"",J72-Paramètres!$C$12)</f>
        <v/>
      </c>
      <c r="N72" s="27" t="str">
        <f aca="false">IF(B72="","",IF(F72=Paramètres!$B$9,"✔ Terminé",IF(J72="","",IF(J72&lt;Paramètres!$C$12,"⚠ En retard",IF(J72-Paramètres!$C$12&lt;=Paramètres!$C$13,"⏰ Bientôt","OK")))))</f>
        <v/>
      </c>
      <c r="O72" s="26" t="str">
        <f aca="false">IF(OR(B72="",I72=""),"",IF(K72&lt;&gt;"",K72-I72,IF(F72=Paramètres!$B$9,"",Paramètres!$C$12-I72)))</f>
        <v/>
      </c>
      <c r="P72" s="26" t="str">
        <f aca="false">IF(OR(B72="",H72=""),"",IF(K72&lt;&gt;"",K72-H72,Paramètres!$C$12-H72))</f>
        <v/>
      </c>
      <c r="Q72" s="29" t="str">
        <f aca="false">IF(B72="","",IFERROR(MATCH(E72,Paramètres!$G$5:$G$7,0),99))</f>
        <v/>
      </c>
      <c r="R72" s="29" t="str">
        <f aca="false">IF(B72="","",IF(OR(Kanban!$C$3="Tous",D72=Kanban!$C$3),1,0))</f>
        <v/>
      </c>
      <c r="S72" s="29" t="str">
        <f aca="false">IF(R72=1,COUNTIFS($F$5:$F$104,F72,$R$5:$R$104,1,$Q$5:$Q$104,"&lt;"&amp;Q72)+COUNTIFS($F$5:F72,F72,$R$5:R72,1,$Q$5:Q72,Q72),"")</f>
        <v/>
      </c>
      <c r="T72" s="29" t="str">
        <f aca="false">IF(S72="","",F72&amp;"|"&amp;S72)</f>
        <v/>
      </c>
      <c r="U72" s="29" t="str">
        <f aca="false">IF(S72="","",A72&amp;"  "&amp;B72&amp;CHAR(10)&amp;"👤 "&amp;D72&amp;"   📅 "&amp;IF(J72="","—",TEXT(DAY(J72),"00")&amp;"/"&amp;TEXT(MONTH(J72),"00"))&amp;CHAR(10)&amp;IF(E72="Haute","🔴 ",IF(E72="Moyenne","🟠 ","🟢 "))&amp;E72&amp;IF(N72="⚠ En retard","   ⚠ En retard",""))</f>
        <v/>
      </c>
    </row>
    <row r="73" customFormat="false" ht="15" hidden="false" customHeight="false" outlineLevel="0" collapsed="false">
      <c r="A73" s="22" t="str">
        <f aca="false">IF(B73="","","T-"&amp;TEXT(ROW()-4,"000"))</f>
        <v/>
      </c>
      <c r="B73" s="23"/>
      <c r="C73" s="23"/>
      <c r="D73" s="23"/>
      <c r="E73" s="23"/>
      <c r="F73" s="23"/>
      <c r="G73" s="23"/>
      <c r="H73" s="24"/>
      <c r="I73" s="24"/>
      <c r="J73" s="24"/>
      <c r="K73" s="24"/>
      <c r="L73" s="25" t="n">
        <f aca="false">IF(B73="",0,IFERROR(INDEX(Paramètres!$D$5:$D$9,MATCH(F73,Paramètres!$B$5:$B$9,0)),0))</f>
        <v>0</v>
      </c>
      <c r="M73" s="26" t="str">
        <f aca="false">IF(OR(B73="",J73="",F73=Paramètres!$B$9),"",J73-Paramètres!$C$12)</f>
        <v/>
      </c>
      <c r="N73" s="27" t="str">
        <f aca="false">IF(B73="","",IF(F73=Paramètres!$B$9,"✔ Terminé",IF(J73="","",IF(J73&lt;Paramètres!$C$12,"⚠ En retard",IF(J73-Paramètres!$C$12&lt;=Paramètres!$C$13,"⏰ Bientôt","OK")))))</f>
        <v/>
      </c>
      <c r="O73" s="26" t="str">
        <f aca="false">IF(OR(B73="",I73=""),"",IF(K73&lt;&gt;"",K73-I73,IF(F73=Paramètres!$B$9,"",Paramètres!$C$12-I73)))</f>
        <v/>
      </c>
      <c r="P73" s="26" t="str">
        <f aca="false">IF(OR(B73="",H73=""),"",IF(K73&lt;&gt;"",K73-H73,Paramètres!$C$12-H73))</f>
        <v/>
      </c>
      <c r="Q73" s="29" t="str">
        <f aca="false">IF(B73="","",IFERROR(MATCH(E73,Paramètres!$G$5:$G$7,0),99))</f>
        <v/>
      </c>
      <c r="R73" s="29" t="str">
        <f aca="false">IF(B73="","",IF(OR(Kanban!$C$3="Tous",D73=Kanban!$C$3),1,0))</f>
        <v/>
      </c>
      <c r="S73" s="29" t="str">
        <f aca="false">IF(R73=1,COUNTIFS($F$5:$F$104,F73,$R$5:$R$104,1,$Q$5:$Q$104,"&lt;"&amp;Q73)+COUNTIFS($F$5:F73,F73,$R$5:R73,1,$Q$5:Q73,Q73),"")</f>
        <v/>
      </c>
      <c r="T73" s="29" t="str">
        <f aca="false">IF(S73="","",F73&amp;"|"&amp;S73)</f>
        <v/>
      </c>
      <c r="U73" s="29" t="str">
        <f aca="false">IF(S73="","",A73&amp;"  "&amp;B73&amp;CHAR(10)&amp;"👤 "&amp;D73&amp;"   📅 "&amp;IF(J73="","—",TEXT(DAY(J73),"00")&amp;"/"&amp;TEXT(MONTH(J73),"00"))&amp;CHAR(10)&amp;IF(E73="Haute","🔴 ",IF(E73="Moyenne","🟠 ","🟢 "))&amp;E73&amp;IF(N73="⚠ En retard","   ⚠ En retard",""))</f>
        <v/>
      </c>
    </row>
    <row r="74" customFormat="false" ht="15" hidden="false" customHeight="false" outlineLevel="0" collapsed="false">
      <c r="A74" s="22" t="str">
        <f aca="false">IF(B74="","","T-"&amp;TEXT(ROW()-4,"000"))</f>
        <v/>
      </c>
      <c r="B74" s="23"/>
      <c r="C74" s="23"/>
      <c r="D74" s="23"/>
      <c r="E74" s="23"/>
      <c r="F74" s="23"/>
      <c r="G74" s="23"/>
      <c r="H74" s="24"/>
      <c r="I74" s="24"/>
      <c r="J74" s="24"/>
      <c r="K74" s="24"/>
      <c r="L74" s="25" t="n">
        <f aca="false">IF(B74="",0,IFERROR(INDEX(Paramètres!$D$5:$D$9,MATCH(F74,Paramètres!$B$5:$B$9,0)),0))</f>
        <v>0</v>
      </c>
      <c r="M74" s="26" t="str">
        <f aca="false">IF(OR(B74="",J74="",F74=Paramètres!$B$9),"",J74-Paramètres!$C$12)</f>
        <v/>
      </c>
      <c r="N74" s="27" t="str">
        <f aca="false">IF(B74="","",IF(F74=Paramètres!$B$9,"✔ Terminé",IF(J74="","",IF(J74&lt;Paramètres!$C$12,"⚠ En retard",IF(J74-Paramètres!$C$12&lt;=Paramètres!$C$13,"⏰ Bientôt","OK")))))</f>
        <v/>
      </c>
      <c r="O74" s="26" t="str">
        <f aca="false">IF(OR(B74="",I74=""),"",IF(K74&lt;&gt;"",K74-I74,IF(F74=Paramètres!$B$9,"",Paramètres!$C$12-I74)))</f>
        <v/>
      </c>
      <c r="P74" s="26" t="str">
        <f aca="false">IF(OR(B74="",H74=""),"",IF(K74&lt;&gt;"",K74-H74,Paramètres!$C$12-H74))</f>
        <v/>
      </c>
      <c r="Q74" s="29" t="str">
        <f aca="false">IF(B74="","",IFERROR(MATCH(E74,Paramètres!$G$5:$G$7,0),99))</f>
        <v/>
      </c>
      <c r="R74" s="29" t="str">
        <f aca="false">IF(B74="","",IF(OR(Kanban!$C$3="Tous",D74=Kanban!$C$3),1,0))</f>
        <v/>
      </c>
      <c r="S74" s="29" t="str">
        <f aca="false">IF(R74=1,COUNTIFS($F$5:$F$104,F74,$R$5:$R$104,1,$Q$5:$Q$104,"&lt;"&amp;Q74)+COUNTIFS($F$5:F74,F74,$R$5:R74,1,$Q$5:Q74,Q74),"")</f>
        <v/>
      </c>
      <c r="T74" s="29" t="str">
        <f aca="false">IF(S74="","",F74&amp;"|"&amp;S74)</f>
        <v/>
      </c>
      <c r="U74" s="29" t="str">
        <f aca="false">IF(S74="","",A74&amp;"  "&amp;B74&amp;CHAR(10)&amp;"👤 "&amp;D74&amp;"   📅 "&amp;IF(J74="","—",TEXT(DAY(J74),"00")&amp;"/"&amp;TEXT(MONTH(J74),"00"))&amp;CHAR(10)&amp;IF(E74="Haute","🔴 ",IF(E74="Moyenne","🟠 ","🟢 "))&amp;E74&amp;IF(N74="⚠ En retard","   ⚠ En retard",""))</f>
        <v/>
      </c>
    </row>
    <row r="75" customFormat="false" ht="15" hidden="false" customHeight="false" outlineLevel="0" collapsed="false">
      <c r="A75" s="22" t="str">
        <f aca="false">IF(B75="","","T-"&amp;TEXT(ROW()-4,"000"))</f>
        <v/>
      </c>
      <c r="B75" s="23"/>
      <c r="C75" s="23"/>
      <c r="D75" s="23"/>
      <c r="E75" s="23"/>
      <c r="F75" s="23"/>
      <c r="G75" s="23"/>
      <c r="H75" s="24"/>
      <c r="I75" s="24"/>
      <c r="J75" s="24"/>
      <c r="K75" s="24"/>
      <c r="L75" s="25" t="n">
        <f aca="false">IF(B75="",0,IFERROR(INDEX(Paramètres!$D$5:$D$9,MATCH(F75,Paramètres!$B$5:$B$9,0)),0))</f>
        <v>0</v>
      </c>
      <c r="M75" s="26" t="str">
        <f aca="false">IF(OR(B75="",J75="",F75=Paramètres!$B$9),"",J75-Paramètres!$C$12)</f>
        <v/>
      </c>
      <c r="N75" s="27" t="str">
        <f aca="false">IF(B75="","",IF(F75=Paramètres!$B$9,"✔ Terminé",IF(J75="","",IF(J75&lt;Paramètres!$C$12,"⚠ En retard",IF(J75-Paramètres!$C$12&lt;=Paramètres!$C$13,"⏰ Bientôt","OK")))))</f>
        <v/>
      </c>
      <c r="O75" s="26" t="str">
        <f aca="false">IF(OR(B75="",I75=""),"",IF(K75&lt;&gt;"",K75-I75,IF(F75=Paramètres!$B$9,"",Paramètres!$C$12-I75)))</f>
        <v/>
      </c>
      <c r="P75" s="26" t="str">
        <f aca="false">IF(OR(B75="",H75=""),"",IF(K75&lt;&gt;"",K75-H75,Paramètres!$C$12-H75))</f>
        <v/>
      </c>
      <c r="Q75" s="29" t="str">
        <f aca="false">IF(B75="","",IFERROR(MATCH(E75,Paramètres!$G$5:$G$7,0),99))</f>
        <v/>
      </c>
      <c r="R75" s="29" t="str">
        <f aca="false">IF(B75="","",IF(OR(Kanban!$C$3="Tous",D75=Kanban!$C$3),1,0))</f>
        <v/>
      </c>
      <c r="S75" s="29" t="str">
        <f aca="false">IF(R75=1,COUNTIFS($F$5:$F$104,F75,$R$5:$R$104,1,$Q$5:$Q$104,"&lt;"&amp;Q75)+COUNTIFS($F$5:F75,F75,$R$5:R75,1,$Q$5:Q75,Q75),"")</f>
        <v/>
      </c>
      <c r="T75" s="29" t="str">
        <f aca="false">IF(S75="","",F75&amp;"|"&amp;S75)</f>
        <v/>
      </c>
      <c r="U75" s="29" t="str">
        <f aca="false">IF(S75="","",A75&amp;"  "&amp;B75&amp;CHAR(10)&amp;"👤 "&amp;D75&amp;"   📅 "&amp;IF(J75="","—",TEXT(DAY(J75),"00")&amp;"/"&amp;TEXT(MONTH(J75),"00"))&amp;CHAR(10)&amp;IF(E75="Haute","🔴 ",IF(E75="Moyenne","🟠 ","🟢 "))&amp;E75&amp;IF(N75="⚠ En retard","   ⚠ En retard",""))</f>
        <v/>
      </c>
    </row>
    <row r="76" customFormat="false" ht="15" hidden="false" customHeight="false" outlineLevel="0" collapsed="false">
      <c r="A76" s="22" t="str">
        <f aca="false">IF(B76="","","T-"&amp;TEXT(ROW()-4,"000"))</f>
        <v/>
      </c>
      <c r="B76" s="23"/>
      <c r="C76" s="23"/>
      <c r="D76" s="23"/>
      <c r="E76" s="23"/>
      <c r="F76" s="23"/>
      <c r="G76" s="23"/>
      <c r="H76" s="24"/>
      <c r="I76" s="24"/>
      <c r="J76" s="24"/>
      <c r="K76" s="24"/>
      <c r="L76" s="25" t="n">
        <f aca="false">IF(B76="",0,IFERROR(INDEX(Paramètres!$D$5:$D$9,MATCH(F76,Paramètres!$B$5:$B$9,0)),0))</f>
        <v>0</v>
      </c>
      <c r="M76" s="26" t="str">
        <f aca="false">IF(OR(B76="",J76="",F76=Paramètres!$B$9),"",J76-Paramètres!$C$12)</f>
        <v/>
      </c>
      <c r="N76" s="27" t="str">
        <f aca="false">IF(B76="","",IF(F76=Paramètres!$B$9,"✔ Terminé",IF(J76="","",IF(J76&lt;Paramètres!$C$12,"⚠ En retard",IF(J76-Paramètres!$C$12&lt;=Paramètres!$C$13,"⏰ Bientôt","OK")))))</f>
        <v/>
      </c>
      <c r="O76" s="26" t="str">
        <f aca="false">IF(OR(B76="",I76=""),"",IF(K76&lt;&gt;"",K76-I76,IF(F76=Paramètres!$B$9,"",Paramètres!$C$12-I76)))</f>
        <v/>
      </c>
      <c r="P76" s="26" t="str">
        <f aca="false">IF(OR(B76="",H76=""),"",IF(K76&lt;&gt;"",K76-H76,Paramètres!$C$12-H76))</f>
        <v/>
      </c>
      <c r="Q76" s="29" t="str">
        <f aca="false">IF(B76="","",IFERROR(MATCH(E76,Paramètres!$G$5:$G$7,0),99))</f>
        <v/>
      </c>
      <c r="R76" s="29" t="str">
        <f aca="false">IF(B76="","",IF(OR(Kanban!$C$3="Tous",D76=Kanban!$C$3),1,0))</f>
        <v/>
      </c>
      <c r="S76" s="29" t="str">
        <f aca="false">IF(R76=1,COUNTIFS($F$5:$F$104,F76,$R$5:$R$104,1,$Q$5:$Q$104,"&lt;"&amp;Q76)+COUNTIFS($F$5:F76,F76,$R$5:R76,1,$Q$5:Q76,Q76),"")</f>
        <v/>
      </c>
      <c r="T76" s="29" t="str">
        <f aca="false">IF(S76="","",F76&amp;"|"&amp;S76)</f>
        <v/>
      </c>
      <c r="U76" s="29" t="str">
        <f aca="false">IF(S76="","",A76&amp;"  "&amp;B76&amp;CHAR(10)&amp;"👤 "&amp;D76&amp;"   📅 "&amp;IF(J76="","—",TEXT(DAY(J76),"00")&amp;"/"&amp;TEXT(MONTH(J76),"00"))&amp;CHAR(10)&amp;IF(E76="Haute","🔴 ",IF(E76="Moyenne","🟠 ","🟢 "))&amp;E76&amp;IF(N76="⚠ En retard","   ⚠ En retard",""))</f>
        <v/>
      </c>
    </row>
    <row r="77" customFormat="false" ht="15" hidden="false" customHeight="false" outlineLevel="0" collapsed="false">
      <c r="A77" s="22" t="str">
        <f aca="false">IF(B77="","","T-"&amp;TEXT(ROW()-4,"000"))</f>
        <v/>
      </c>
      <c r="B77" s="23"/>
      <c r="C77" s="23"/>
      <c r="D77" s="23"/>
      <c r="E77" s="23"/>
      <c r="F77" s="23"/>
      <c r="G77" s="23"/>
      <c r="H77" s="24"/>
      <c r="I77" s="24"/>
      <c r="J77" s="24"/>
      <c r="K77" s="24"/>
      <c r="L77" s="25" t="n">
        <f aca="false">IF(B77="",0,IFERROR(INDEX(Paramètres!$D$5:$D$9,MATCH(F77,Paramètres!$B$5:$B$9,0)),0))</f>
        <v>0</v>
      </c>
      <c r="M77" s="26" t="str">
        <f aca="false">IF(OR(B77="",J77="",F77=Paramètres!$B$9),"",J77-Paramètres!$C$12)</f>
        <v/>
      </c>
      <c r="N77" s="27" t="str">
        <f aca="false">IF(B77="","",IF(F77=Paramètres!$B$9,"✔ Terminé",IF(J77="","",IF(J77&lt;Paramètres!$C$12,"⚠ En retard",IF(J77-Paramètres!$C$12&lt;=Paramètres!$C$13,"⏰ Bientôt","OK")))))</f>
        <v/>
      </c>
      <c r="O77" s="26" t="str">
        <f aca="false">IF(OR(B77="",I77=""),"",IF(K77&lt;&gt;"",K77-I77,IF(F77=Paramètres!$B$9,"",Paramètres!$C$12-I77)))</f>
        <v/>
      </c>
      <c r="P77" s="26" t="str">
        <f aca="false">IF(OR(B77="",H77=""),"",IF(K77&lt;&gt;"",K77-H77,Paramètres!$C$12-H77))</f>
        <v/>
      </c>
      <c r="Q77" s="29" t="str">
        <f aca="false">IF(B77="","",IFERROR(MATCH(E77,Paramètres!$G$5:$G$7,0),99))</f>
        <v/>
      </c>
      <c r="R77" s="29" t="str">
        <f aca="false">IF(B77="","",IF(OR(Kanban!$C$3="Tous",D77=Kanban!$C$3),1,0))</f>
        <v/>
      </c>
      <c r="S77" s="29" t="str">
        <f aca="false">IF(R77=1,COUNTIFS($F$5:$F$104,F77,$R$5:$R$104,1,$Q$5:$Q$104,"&lt;"&amp;Q77)+COUNTIFS($F$5:F77,F77,$R$5:R77,1,$Q$5:Q77,Q77),"")</f>
        <v/>
      </c>
      <c r="T77" s="29" t="str">
        <f aca="false">IF(S77="","",F77&amp;"|"&amp;S77)</f>
        <v/>
      </c>
      <c r="U77" s="29" t="str">
        <f aca="false">IF(S77="","",A77&amp;"  "&amp;B77&amp;CHAR(10)&amp;"👤 "&amp;D77&amp;"   📅 "&amp;IF(J77="","—",TEXT(DAY(J77),"00")&amp;"/"&amp;TEXT(MONTH(J77),"00"))&amp;CHAR(10)&amp;IF(E77="Haute","🔴 ",IF(E77="Moyenne","🟠 ","🟢 "))&amp;E77&amp;IF(N77="⚠ En retard","   ⚠ En retard",""))</f>
        <v/>
      </c>
    </row>
    <row r="78" customFormat="false" ht="15" hidden="false" customHeight="false" outlineLevel="0" collapsed="false">
      <c r="A78" s="22" t="str">
        <f aca="false">IF(B78="","","T-"&amp;TEXT(ROW()-4,"000"))</f>
        <v/>
      </c>
      <c r="B78" s="23"/>
      <c r="C78" s="23"/>
      <c r="D78" s="23"/>
      <c r="E78" s="23"/>
      <c r="F78" s="23"/>
      <c r="G78" s="23"/>
      <c r="H78" s="24"/>
      <c r="I78" s="24"/>
      <c r="J78" s="24"/>
      <c r="K78" s="24"/>
      <c r="L78" s="25" t="n">
        <f aca="false">IF(B78="",0,IFERROR(INDEX(Paramètres!$D$5:$D$9,MATCH(F78,Paramètres!$B$5:$B$9,0)),0))</f>
        <v>0</v>
      </c>
      <c r="M78" s="26" t="str">
        <f aca="false">IF(OR(B78="",J78="",F78=Paramètres!$B$9),"",J78-Paramètres!$C$12)</f>
        <v/>
      </c>
      <c r="N78" s="27" t="str">
        <f aca="false">IF(B78="","",IF(F78=Paramètres!$B$9,"✔ Terminé",IF(J78="","",IF(J78&lt;Paramètres!$C$12,"⚠ En retard",IF(J78-Paramètres!$C$12&lt;=Paramètres!$C$13,"⏰ Bientôt","OK")))))</f>
        <v/>
      </c>
      <c r="O78" s="26" t="str">
        <f aca="false">IF(OR(B78="",I78=""),"",IF(K78&lt;&gt;"",K78-I78,IF(F78=Paramètres!$B$9,"",Paramètres!$C$12-I78)))</f>
        <v/>
      </c>
      <c r="P78" s="26" t="str">
        <f aca="false">IF(OR(B78="",H78=""),"",IF(K78&lt;&gt;"",K78-H78,Paramètres!$C$12-H78))</f>
        <v/>
      </c>
      <c r="Q78" s="29" t="str">
        <f aca="false">IF(B78="","",IFERROR(MATCH(E78,Paramètres!$G$5:$G$7,0),99))</f>
        <v/>
      </c>
      <c r="R78" s="29" t="str">
        <f aca="false">IF(B78="","",IF(OR(Kanban!$C$3="Tous",D78=Kanban!$C$3),1,0))</f>
        <v/>
      </c>
      <c r="S78" s="29" t="str">
        <f aca="false">IF(R78=1,COUNTIFS($F$5:$F$104,F78,$R$5:$R$104,1,$Q$5:$Q$104,"&lt;"&amp;Q78)+COUNTIFS($F$5:F78,F78,$R$5:R78,1,$Q$5:Q78,Q78),"")</f>
        <v/>
      </c>
      <c r="T78" s="29" t="str">
        <f aca="false">IF(S78="","",F78&amp;"|"&amp;S78)</f>
        <v/>
      </c>
      <c r="U78" s="29" t="str">
        <f aca="false">IF(S78="","",A78&amp;"  "&amp;B78&amp;CHAR(10)&amp;"👤 "&amp;D78&amp;"   📅 "&amp;IF(J78="","—",TEXT(DAY(J78),"00")&amp;"/"&amp;TEXT(MONTH(J78),"00"))&amp;CHAR(10)&amp;IF(E78="Haute","🔴 ",IF(E78="Moyenne","🟠 ","🟢 "))&amp;E78&amp;IF(N78="⚠ En retard","   ⚠ En retard",""))</f>
        <v/>
      </c>
    </row>
    <row r="79" customFormat="false" ht="15" hidden="false" customHeight="false" outlineLevel="0" collapsed="false">
      <c r="A79" s="22" t="str">
        <f aca="false">IF(B79="","","T-"&amp;TEXT(ROW()-4,"000"))</f>
        <v/>
      </c>
      <c r="B79" s="23"/>
      <c r="C79" s="23"/>
      <c r="D79" s="23"/>
      <c r="E79" s="23"/>
      <c r="F79" s="23"/>
      <c r="G79" s="23"/>
      <c r="H79" s="24"/>
      <c r="I79" s="24"/>
      <c r="J79" s="24"/>
      <c r="K79" s="24"/>
      <c r="L79" s="25" t="n">
        <f aca="false">IF(B79="",0,IFERROR(INDEX(Paramètres!$D$5:$D$9,MATCH(F79,Paramètres!$B$5:$B$9,0)),0))</f>
        <v>0</v>
      </c>
      <c r="M79" s="26" t="str">
        <f aca="false">IF(OR(B79="",J79="",F79=Paramètres!$B$9),"",J79-Paramètres!$C$12)</f>
        <v/>
      </c>
      <c r="N79" s="27" t="str">
        <f aca="false">IF(B79="","",IF(F79=Paramètres!$B$9,"✔ Terminé",IF(J79="","",IF(J79&lt;Paramètres!$C$12,"⚠ En retard",IF(J79-Paramètres!$C$12&lt;=Paramètres!$C$13,"⏰ Bientôt","OK")))))</f>
        <v/>
      </c>
      <c r="O79" s="26" t="str">
        <f aca="false">IF(OR(B79="",I79=""),"",IF(K79&lt;&gt;"",K79-I79,IF(F79=Paramètres!$B$9,"",Paramètres!$C$12-I79)))</f>
        <v/>
      </c>
      <c r="P79" s="26" t="str">
        <f aca="false">IF(OR(B79="",H79=""),"",IF(K79&lt;&gt;"",K79-H79,Paramètres!$C$12-H79))</f>
        <v/>
      </c>
      <c r="Q79" s="29" t="str">
        <f aca="false">IF(B79="","",IFERROR(MATCH(E79,Paramètres!$G$5:$G$7,0),99))</f>
        <v/>
      </c>
      <c r="R79" s="29" t="str">
        <f aca="false">IF(B79="","",IF(OR(Kanban!$C$3="Tous",D79=Kanban!$C$3),1,0))</f>
        <v/>
      </c>
      <c r="S79" s="29" t="str">
        <f aca="false">IF(R79=1,COUNTIFS($F$5:$F$104,F79,$R$5:$R$104,1,$Q$5:$Q$104,"&lt;"&amp;Q79)+COUNTIFS($F$5:F79,F79,$R$5:R79,1,$Q$5:Q79,Q79),"")</f>
        <v/>
      </c>
      <c r="T79" s="29" t="str">
        <f aca="false">IF(S79="","",F79&amp;"|"&amp;S79)</f>
        <v/>
      </c>
      <c r="U79" s="29" t="str">
        <f aca="false">IF(S79="","",A79&amp;"  "&amp;B79&amp;CHAR(10)&amp;"👤 "&amp;D79&amp;"   📅 "&amp;IF(J79="","—",TEXT(DAY(J79),"00")&amp;"/"&amp;TEXT(MONTH(J79),"00"))&amp;CHAR(10)&amp;IF(E79="Haute","🔴 ",IF(E79="Moyenne","🟠 ","🟢 "))&amp;E79&amp;IF(N79="⚠ En retard","   ⚠ En retard",""))</f>
        <v/>
      </c>
    </row>
    <row r="80" customFormat="false" ht="15" hidden="false" customHeight="false" outlineLevel="0" collapsed="false">
      <c r="A80" s="22" t="str">
        <f aca="false">IF(B80="","","T-"&amp;TEXT(ROW()-4,"000"))</f>
        <v/>
      </c>
      <c r="B80" s="23"/>
      <c r="C80" s="23"/>
      <c r="D80" s="23"/>
      <c r="E80" s="23"/>
      <c r="F80" s="23"/>
      <c r="G80" s="23"/>
      <c r="H80" s="24"/>
      <c r="I80" s="24"/>
      <c r="J80" s="24"/>
      <c r="K80" s="24"/>
      <c r="L80" s="25" t="n">
        <f aca="false">IF(B80="",0,IFERROR(INDEX(Paramètres!$D$5:$D$9,MATCH(F80,Paramètres!$B$5:$B$9,0)),0))</f>
        <v>0</v>
      </c>
      <c r="M80" s="26" t="str">
        <f aca="false">IF(OR(B80="",J80="",F80=Paramètres!$B$9),"",J80-Paramètres!$C$12)</f>
        <v/>
      </c>
      <c r="N80" s="27" t="str">
        <f aca="false">IF(B80="","",IF(F80=Paramètres!$B$9,"✔ Terminé",IF(J80="","",IF(J80&lt;Paramètres!$C$12,"⚠ En retard",IF(J80-Paramètres!$C$12&lt;=Paramètres!$C$13,"⏰ Bientôt","OK")))))</f>
        <v/>
      </c>
      <c r="O80" s="26" t="str">
        <f aca="false">IF(OR(B80="",I80=""),"",IF(K80&lt;&gt;"",K80-I80,IF(F80=Paramètres!$B$9,"",Paramètres!$C$12-I80)))</f>
        <v/>
      </c>
      <c r="P80" s="26" t="str">
        <f aca="false">IF(OR(B80="",H80=""),"",IF(K80&lt;&gt;"",K80-H80,Paramètres!$C$12-H80))</f>
        <v/>
      </c>
      <c r="Q80" s="29" t="str">
        <f aca="false">IF(B80="","",IFERROR(MATCH(E80,Paramètres!$G$5:$G$7,0),99))</f>
        <v/>
      </c>
      <c r="R80" s="29" t="str">
        <f aca="false">IF(B80="","",IF(OR(Kanban!$C$3="Tous",D80=Kanban!$C$3),1,0))</f>
        <v/>
      </c>
      <c r="S80" s="29" t="str">
        <f aca="false">IF(R80=1,COUNTIFS($F$5:$F$104,F80,$R$5:$R$104,1,$Q$5:$Q$104,"&lt;"&amp;Q80)+COUNTIFS($F$5:F80,F80,$R$5:R80,1,$Q$5:Q80,Q80),"")</f>
        <v/>
      </c>
      <c r="T80" s="29" t="str">
        <f aca="false">IF(S80="","",F80&amp;"|"&amp;S80)</f>
        <v/>
      </c>
      <c r="U80" s="29" t="str">
        <f aca="false">IF(S80="","",A80&amp;"  "&amp;B80&amp;CHAR(10)&amp;"👤 "&amp;D80&amp;"   📅 "&amp;IF(J80="","—",TEXT(DAY(J80),"00")&amp;"/"&amp;TEXT(MONTH(J80),"00"))&amp;CHAR(10)&amp;IF(E80="Haute","🔴 ",IF(E80="Moyenne","🟠 ","🟢 "))&amp;E80&amp;IF(N80="⚠ En retard","   ⚠ En retard",""))</f>
        <v/>
      </c>
    </row>
    <row r="81" customFormat="false" ht="15" hidden="false" customHeight="false" outlineLevel="0" collapsed="false">
      <c r="A81" s="22" t="str">
        <f aca="false">IF(B81="","","T-"&amp;TEXT(ROW()-4,"000"))</f>
        <v/>
      </c>
      <c r="B81" s="23"/>
      <c r="C81" s="23"/>
      <c r="D81" s="23"/>
      <c r="E81" s="23"/>
      <c r="F81" s="23"/>
      <c r="G81" s="23"/>
      <c r="H81" s="24"/>
      <c r="I81" s="24"/>
      <c r="J81" s="24"/>
      <c r="K81" s="24"/>
      <c r="L81" s="25" t="n">
        <f aca="false">IF(B81="",0,IFERROR(INDEX(Paramètres!$D$5:$D$9,MATCH(F81,Paramètres!$B$5:$B$9,0)),0))</f>
        <v>0</v>
      </c>
      <c r="M81" s="26" t="str">
        <f aca="false">IF(OR(B81="",J81="",F81=Paramètres!$B$9),"",J81-Paramètres!$C$12)</f>
        <v/>
      </c>
      <c r="N81" s="27" t="str">
        <f aca="false">IF(B81="","",IF(F81=Paramètres!$B$9,"✔ Terminé",IF(J81="","",IF(J81&lt;Paramètres!$C$12,"⚠ En retard",IF(J81-Paramètres!$C$12&lt;=Paramètres!$C$13,"⏰ Bientôt","OK")))))</f>
        <v/>
      </c>
      <c r="O81" s="26" t="str">
        <f aca="false">IF(OR(B81="",I81=""),"",IF(K81&lt;&gt;"",K81-I81,IF(F81=Paramètres!$B$9,"",Paramètres!$C$12-I81)))</f>
        <v/>
      </c>
      <c r="P81" s="26" t="str">
        <f aca="false">IF(OR(B81="",H81=""),"",IF(K81&lt;&gt;"",K81-H81,Paramètres!$C$12-H81))</f>
        <v/>
      </c>
      <c r="Q81" s="29" t="str">
        <f aca="false">IF(B81="","",IFERROR(MATCH(E81,Paramètres!$G$5:$G$7,0),99))</f>
        <v/>
      </c>
      <c r="R81" s="29" t="str">
        <f aca="false">IF(B81="","",IF(OR(Kanban!$C$3="Tous",D81=Kanban!$C$3),1,0))</f>
        <v/>
      </c>
      <c r="S81" s="29" t="str">
        <f aca="false">IF(R81=1,COUNTIFS($F$5:$F$104,F81,$R$5:$R$104,1,$Q$5:$Q$104,"&lt;"&amp;Q81)+COUNTIFS($F$5:F81,F81,$R$5:R81,1,$Q$5:Q81,Q81),"")</f>
        <v/>
      </c>
      <c r="T81" s="29" t="str">
        <f aca="false">IF(S81="","",F81&amp;"|"&amp;S81)</f>
        <v/>
      </c>
      <c r="U81" s="29" t="str">
        <f aca="false">IF(S81="","",A81&amp;"  "&amp;B81&amp;CHAR(10)&amp;"👤 "&amp;D81&amp;"   📅 "&amp;IF(J81="","—",TEXT(DAY(J81),"00")&amp;"/"&amp;TEXT(MONTH(J81),"00"))&amp;CHAR(10)&amp;IF(E81="Haute","🔴 ",IF(E81="Moyenne","🟠 ","🟢 "))&amp;E81&amp;IF(N81="⚠ En retard","   ⚠ En retard",""))</f>
        <v/>
      </c>
    </row>
    <row r="82" customFormat="false" ht="15" hidden="false" customHeight="false" outlineLevel="0" collapsed="false">
      <c r="A82" s="22" t="str">
        <f aca="false">IF(B82="","","T-"&amp;TEXT(ROW()-4,"000"))</f>
        <v/>
      </c>
      <c r="B82" s="23"/>
      <c r="C82" s="23"/>
      <c r="D82" s="23"/>
      <c r="E82" s="23"/>
      <c r="F82" s="23"/>
      <c r="G82" s="23"/>
      <c r="H82" s="24"/>
      <c r="I82" s="24"/>
      <c r="J82" s="24"/>
      <c r="K82" s="24"/>
      <c r="L82" s="25" t="n">
        <f aca="false">IF(B82="",0,IFERROR(INDEX(Paramètres!$D$5:$D$9,MATCH(F82,Paramètres!$B$5:$B$9,0)),0))</f>
        <v>0</v>
      </c>
      <c r="M82" s="26" t="str">
        <f aca="false">IF(OR(B82="",J82="",F82=Paramètres!$B$9),"",J82-Paramètres!$C$12)</f>
        <v/>
      </c>
      <c r="N82" s="27" t="str">
        <f aca="false">IF(B82="","",IF(F82=Paramètres!$B$9,"✔ Terminé",IF(J82="","",IF(J82&lt;Paramètres!$C$12,"⚠ En retard",IF(J82-Paramètres!$C$12&lt;=Paramètres!$C$13,"⏰ Bientôt","OK")))))</f>
        <v/>
      </c>
      <c r="O82" s="26" t="str">
        <f aca="false">IF(OR(B82="",I82=""),"",IF(K82&lt;&gt;"",K82-I82,IF(F82=Paramètres!$B$9,"",Paramètres!$C$12-I82)))</f>
        <v/>
      </c>
      <c r="P82" s="26" t="str">
        <f aca="false">IF(OR(B82="",H82=""),"",IF(K82&lt;&gt;"",K82-H82,Paramètres!$C$12-H82))</f>
        <v/>
      </c>
      <c r="Q82" s="29" t="str">
        <f aca="false">IF(B82="","",IFERROR(MATCH(E82,Paramètres!$G$5:$G$7,0),99))</f>
        <v/>
      </c>
      <c r="R82" s="29" t="str">
        <f aca="false">IF(B82="","",IF(OR(Kanban!$C$3="Tous",D82=Kanban!$C$3),1,0))</f>
        <v/>
      </c>
      <c r="S82" s="29" t="str">
        <f aca="false">IF(R82=1,COUNTIFS($F$5:$F$104,F82,$R$5:$R$104,1,$Q$5:$Q$104,"&lt;"&amp;Q82)+COUNTIFS($F$5:F82,F82,$R$5:R82,1,$Q$5:Q82,Q82),"")</f>
        <v/>
      </c>
      <c r="T82" s="29" t="str">
        <f aca="false">IF(S82="","",F82&amp;"|"&amp;S82)</f>
        <v/>
      </c>
      <c r="U82" s="29" t="str">
        <f aca="false">IF(S82="","",A82&amp;"  "&amp;B82&amp;CHAR(10)&amp;"👤 "&amp;D82&amp;"   📅 "&amp;IF(J82="","—",TEXT(DAY(J82),"00")&amp;"/"&amp;TEXT(MONTH(J82),"00"))&amp;CHAR(10)&amp;IF(E82="Haute","🔴 ",IF(E82="Moyenne","🟠 ","🟢 "))&amp;E82&amp;IF(N82="⚠ En retard","   ⚠ En retard",""))</f>
        <v/>
      </c>
    </row>
    <row r="83" customFormat="false" ht="15" hidden="false" customHeight="false" outlineLevel="0" collapsed="false">
      <c r="A83" s="22" t="str">
        <f aca="false">IF(B83="","","T-"&amp;TEXT(ROW()-4,"000"))</f>
        <v/>
      </c>
      <c r="B83" s="23"/>
      <c r="C83" s="23"/>
      <c r="D83" s="23"/>
      <c r="E83" s="23"/>
      <c r="F83" s="23"/>
      <c r="G83" s="23"/>
      <c r="H83" s="24"/>
      <c r="I83" s="24"/>
      <c r="J83" s="24"/>
      <c r="K83" s="24"/>
      <c r="L83" s="25" t="n">
        <f aca="false">IF(B83="",0,IFERROR(INDEX(Paramètres!$D$5:$D$9,MATCH(F83,Paramètres!$B$5:$B$9,0)),0))</f>
        <v>0</v>
      </c>
      <c r="M83" s="26" t="str">
        <f aca="false">IF(OR(B83="",J83="",F83=Paramètres!$B$9),"",J83-Paramètres!$C$12)</f>
        <v/>
      </c>
      <c r="N83" s="27" t="str">
        <f aca="false">IF(B83="","",IF(F83=Paramètres!$B$9,"✔ Terminé",IF(J83="","",IF(J83&lt;Paramètres!$C$12,"⚠ En retard",IF(J83-Paramètres!$C$12&lt;=Paramètres!$C$13,"⏰ Bientôt","OK")))))</f>
        <v/>
      </c>
      <c r="O83" s="26" t="str">
        <f aca="false">IF(OR(B83="",I83=""),"",IF(K83&lt;&gt;"",K83-I83,IF(F83=Paramètres!$B$9,"",Paramètres!$C$12-I83)))</f>
        <v/>
      </c>
      <c r="P83" s="26" t="str">
        <f aca="false">IF(OR(B83="",H83=""),"",IF(K83&lt;&gt;"",K83-H83,Paramètres!$C$12-H83))</f>
        <v/>
      </c>
      <c r="Q83" s="29" t="str">
        <f aca="false">IF(B83="","",IFERROR(MATCH(E83,Paramètres!$G$5:$G$7,0),99))</f>
        <v/>
      </c>
      <c r="R83" s="29" t="str">
        <f aca="false">IF(B83="","",IF(OR(Kanban!$C$3="Tous",D83=Kanban!$C$3),1,0))</f>
        <v/>
      </c>
      <c r="S83" s="29" t="str">
        <f aca="false">IF(R83=1,COUNTIFS($F$5:$F$104,F83,$R$5:$R$104,1,$Q$5:$Q$104,"&lt;"&amp;Q83)+COUNTIFS($F$5:F83,F83,$R$5:R83,1,$Q$5:Q83,Q83),"")</f>
        <v/>
      </c>
      <c r="T83" s="29" t="str">
        <f aca="false">IF(S83="","",F83&amp;"|"&amp;S83)</f>
        <v/>
      </c>
      <c r="U83" s="29" t="str">
        <f aca="false">IF(S83="","",A83&amp;"  "&amp;B83&amp;CHAR(10)&amp;"👤 "&amp;D83&amp;"   📅 "&amp;IF(J83="","—",TEXT(DAY(J83),"00")&amp;"/"&amp;TEXT(MONTH(J83),"00"))&amp;CHAR(10)&amp;IF(E83="Haute","🔴 ",IF(E83="Moyenne","🟠 ","🟢 "))&amp;E83&amp;IF(N83="⚠ En retard","   ⚠ En retard",""))</f>
        <v/>
      </c>
    </row>
    <row r="84" customFormat="false" ht="15" hidden="false" customHeight="false" outlineLevel="0" collapsed="false">
      <c r="A84" s="22" t="str">
        <f aca="false">IF(B84="","","T-"&amp;TEXT(ROW()-4,"000"))</f>
        <v/>
      </c>
      <c r="B84" s="23"/>
      <c r="C84" s="23"/>
      <c r="D84" s="23"/>
      <c r="E84" s="23"/>
      <c r="F84" s="23"/>
      <c r="G84" s="23"/>
      <c r="H84" s="24"/>
      <c r="I84" s="24"/>
      <c r="J84" s="24"/>
      <c r="K84" s="24"/>
      <c r="L84" s="25" t="n">
        <f aca="false">IF(B84="",0,IFERROR(INDEX(Paramètres!$D$5:$D$9,MATCH(F84,Paramètres!$B$5:$B$9,0)),0))</f>
        <v>0</v>
      </c>
      <c r="M84" s="26" t="str">
        <f aca="false">IF(OR(B84="",J84="",F84=Paramètres!$B$9),"",J84-Paramètres!$C$12)</f>
        <v/>
      </c>
      <c r="N84" s="27" t="str">
        <f aca="false">IF(B84="","",IF(F84=Paramètres!$B$9,"✔ Terminé",IF(J84="","",IF(J84&lt;Paramètres!$C$12,"⚠ En retard",IF(J84-Paramètres!$C$12&lt;=Paramètres!$C$13,"⏰ Bientôt","OK")))))</f>
        <v/>
      </c>
      <c r="O84" s="26" t="str">
        <f aca="false">IF(OR(B84="",I84=""),"",IF(K84&lt;&gt;"",K84-I84,IF(F84=Paramètres!$B$9,"",Paramètres!$C$12-I84)))</f>
        <v/>
      </c>
      <c r="P84" s="26" t="str">
        <f aca="false">IF(OR(B84="",H84=""),"",IF(K84&lt;&gt;"",K84-H84,Paramètres!$C$12-H84))</f>
        <v/>
      </c>
      <c r="Q84" s="29" t="str">
        <f aca="false">IF(B84="","",IFERROR(MATCH(E84,Paramètres!$G$5:$G$7,0),99))</f>
        <v/>
      </c>
      <c r="R84" s="29" t="str">
        <f aca="false">IF(B84="","",IF(OR(Kanban!$C$3="Tous",D84=Kanban!$C$3),1,0))</f>
        <v/>
      </c>
      <c r="S84" s="29" t="str">
        <f aca="false">IF(R84=1,COUNTIFS($F$5:$F$104,F84,$R$5:$R$104,1,$Q$5:$Q$104,"&lt;"&amp;Q84)+COUNTIFS($F$5:F84,F84,$R$5:R84,1,$Q$5:Q84,Q84),"")</f>
        <v/>
      </c>
      <c r="T84" s="29" t="str">
        <f aca="false">IF(S84="","",F84&amp;"|"&amp;S84)</f>
        <v/>
      </c>
      <c r="U84" s="29" t="str">
        <f aca="false">IF(S84="","",A84&amp;"  "&amp;B84&amp;CHAR(10)&amp;"👤 "&amp;D84&amp;"   📅 "&amp;IF(J84="","—",TEXT(DAY(J84),"00")&amp;"/"&amp;TEXT(MONTH(J84),"00"))&amp;CHAR(10)&amp;IF(E84="Haute","🔴 ",IF(E84="Moyenne","🟠 ","🟢 "))&amp;E84&amp;IF(N84="⚠ En retard","   ⚠ En retard",""))</f>
        <v/>
      </c>
    </row>
    <row r="85" customFormat="false" ht="15" hidden="false" customHeight="false" outlineLevel="0" collapsed="false">
      <c r="A85" s="22" t="str">
        <f aca="false">IF(B85="","","T-"&amp;TEXT(ROW()-4,"000"))</f>
        <v/>
      </c>
      <c r="B85" s="23"/>
      <c r="C85" s="23"/>
      <c r="D85" s="23"/>
      <c r="E85" s="23"/>
      <c r="F85" s="23"/>
      <c r="G85" s="23"/>
      <c r="H85" s="24"/>
      <c r="I85" s="24"/>
      <c r="J85" s="24"/>
      <c r="K85" s="24"/>
      <c r="L85" s="25" t="n">
        <f aca="false">IF(B85="",0,IFERROR(INDEX(Paramètres!$D$5:$D$9,MATCH(F85,Paramètres!$B$5:$B$9,0)),0))</f>
        <v>0</v>
      </c>
      <c r="M85" s="26" t="str">
        <f aca="false">IF(OR(B85="",J85="",F85=Paramètres!$B$9),"",J85-Paramètres!$C$12)</f>
        <v/>
      </c>
      <c r="N85" s="27" t="str">
        <f aca="false">IF(B85="","",IF(F85=Paramètres!$B$9,"✔ Terminé",IF(J85="","",IF(J85&lt;Paramètres!$C$12,"⚠ En retard",IF(J85-Paramètres!$C$12&lt;=Paramètres!$C$13,"⏰ Bientôt","OK")))))</f>
        <v/>
      </c>
      <c r="O85" s="26" t="str">
        <f aca="false">IF(OR(B85="",I85=""),"",IF(K85&lt;&gt;"",K85-I85,IF(F85=Paramètres!$B$9,"",Paramètres!$C$12-I85)))</f>
        <v/>
      </c>
      <c r="P85" s="26" t="str">
        <f aca="false">IF(OR(B85="",H85=""),"",IF(K85&lt;&gt;"",K85-H85,Paramètres!$C$12-H85))</f>
        <v/>
      </c>
      <c r="Q85" s="29" t="str">
        <f aca="false">IF(B85="","",IFERROR(MATCH(E85,Paramètres!$G$5:$G$7,0),99))</f>
        <v/>
      </c>
      <c r="R85" s="29" t="str">
        <f aca="false">IF(B85="","",IF(OR(Kanban!$C$3="Tous",D85=Kanban!$C$3),1,0))</f>
        <v/>
      </c>
      <c r="S85" s="29" t="str">
        <f aca="false">IF(R85=1,COUNTIFS($F$5:$F$104,F85,$R$5:$R$104,1,$Q$5:$Q$104,"&lt;"&amp;Q85)+COUNTIFS($F$5:F85,F85,$R$5:R85,1,$Q$5:Q85,Q85),"")</f>
        <v/>
      </c>
      <c r="T85" s="29" t="str">
        <f aca="false">IF(S85="","",F85&amp;"|"&amp;S85)</f>
        <v/>
      </c>
      <c r="U85" s="29" t="str">
        <f aca="false">IF(S85="","",A85&amp;"  "&amp;B85&amp;CHAR(10)&amp;"👤 "&amp;D85&amp;"   📅 "&amp;IF(J85="","—",TEXT(DAY(J85),"00")&amp;"/"&amp;TEXT(MONTH(J85),"00"))&amp;CHAR(10)&amp;IF(E85="Haute","🔴 ",IF(E85="Moyenne","🟠 ","🟢 "))&amp;E85&amp;IF(N85="⚠ En retard","   ⚠ En retard",""))</f>
        <v/>
      </c>
    </row>
    <row r="86" customFormat="false" ht="15" hidden="false" customHeight="false" outlineLevel="0" collapsed="false">
      <c r="A86" s="22" t="str">
        <f aca="false">IF(B86="","","T-"&amp;TEXT(ROW()-4,"000"))</f>
        <v/>
      </c>
      <c r="B86" s="23"/>
      <c r="C86" s="23"/>
      <c r="D86" s="23"/>
      <c r="E86" s="23"/>
      <c r="F86" s="23"/>
      <c r="G86" s="23"/>
      <c r="H86" s="24"/>
      <c r="I86" s="24"/>
      <c r="J86" s="24"/>
      <c r="K86" s="24"/>
      <c r="L86" s="25" t="n">
        <f aca="false">IF(B86="",0,IFERROR(INDEX(Paramètres!$D$5:$D$9,MATCH(F86,Paramètres!$B$5:$B$9,0)),0))</f>
        <v>0</v>
      </c>
      <c r="M86" s="26" t="str">
        <f aca="false">IF(OR(B86="",J86="",F86=Paramètres!$B$9),"",J86-Paramètres!$C$12)</f>
        <v/>
      </c>
      <c r="N86" s="27" t="str">
        <f aca="false">IF(B86="","",IF(F86=Paramètres!$B$9,"✔ Terminé",IF(J86="","",IF(J86&lt;Paramètres!$C$12,"⚠ En retard",IF(J86-Paramètres!$C$12&lt;=Paramètres!$C$13,"⏰ Bientôt","OK")))))</f>
        <v/>
      </c>
      <c r="O86" s="26" t="str">
        <f aca="false">IF(OR(B86="",I86=""),"",IF(K86&lt;&gt;"",K86-I86,IF(F86=Paramètres!$B$9,"",Paramètres!$C$12-I86)))</f>
        <v/>
      </c>
      <c r="P86" s="26" t="str">
        <f aca="false">IF(OR(B86="",H86=""),"",IF(K86&lt;&gt;"",K86-H86,Paramètres!$C$12-H86))</f>
        <v/>
      </c>
      <c r="Q86" s="29" t="str">
        <f aca="false">IF(B86="","",IFERROR(MATCH(E86,Paramètres!$G$5:$G$7,0),99))</f>
        <v/>
      </c>
      <c r="R86" s="29" t="str">
        <f aca="false">IF(B86="","",IF(OR(Kanban!$C$3="Tous",D86=Kanban!$C$3),1,0))</f>
        <v/>
      </c>
      <c r="S86" s="29" t="str">
        <f aca="false">IF(R86=1,COUNTIFS($F$5:$F$104,F86,$R$5:$R$104,1,$Q$5:$Q$104,"&lt;"&amp;Q86)+COUNTIFS($F$5:F86,F86,$R$5:R86,1,$Q$5:Q86,Q86),"")</f>
        <v/>
      </c>
      <c r="T86" s="29" t="str">
        <f aca="false">IF(S86="","",F86&amp;"|"&amp;S86)</f>
        <v/>
      </c>
      <c r="U86" s="29" t="str">
        <f aca="false">IF(S86="","",A86&amp;"  "&amp;B86&amp;CHAR(10)&amp;"👤 "&amp;D86&amp;"   📅 "&amp;IF(J86="","—",TEXT(DAY(J86),"00")&amp;"/"&amp;TEXT(MONTH(J86),"00"))&amp;CHAR(10)&amp;IF(E86="Haute","🔴 ",IF(E86="Moyenne","🟠 ","🟢 "))&amp;E86&amp;IF(N86="⚠ En retard","   ⚠ En retard",""))</f>
        <v/>
      </c>
    </row>
    <row r="87" customFormat="false" ht="15" hidden="false" customHeight="false" outlineLevel="0" collapsed="false">
      <c r="A87" s="22" t="str">
        <f aca="false">IF(B87="","","T-"&amp;TEXT(ROW()-4,"000"))</f>
        <v/>
      </c>
      <c r="B87" s="23"/>
      <c r="C87" s="23"/>
      <c r="D87" s="23"/>
      <c r="E87" s="23"/>
      <c r="F87" s="23"/>
      <c r="G87" s="23"/>
      <c r="H87" s="24"/>
      <c r="I87" s="24"/>
      <c r="J87" s="24"/>
      <c r="K87" s="24"/>
      <c r="L87" s="25" t="n">
        <f aca="false">IF(B87="",0,IFERROR(INDEX(Paramètres!$D$5:$D$9,MATCH(F87,Paramètres!$B$5:$B$9,0)),0))</f>
        <v>0</v>
      </c>
      <c r="M87" s="26" t="str">
        <f aca="false">IF(OR(B87="",J87="",F87=Paramètres!$B$9),"",J87-Paramètres!$C$12)</f>
        <v/>
      </c>
      <c r="N87" s="27" t="str">
        <f aca="false">IF(B87="","",IF(F87=Paramètres!$B$9,"✔ Terminé",IF(J87="","",IF(J87&lt;Paramètres!$C$12,"⚠ En retard",IF(J87-Paramètres!$C$12&lt;=Paramètres!$C$13,"⏰ Bientôt","OK")))))</f>
        <v/>
      </c>
      <c r="O87" s="26" t="str">
        <f aca="false">IF(OR(B87="",I87=""),"",IF(K87&lt;&gt;"",K87-I87,IF(F87=Paramètres!$B$9,"",Paramètres!$C$12-I87)))</f>
        <v/>
      </c>
      <c r="P87" s="26" t="str">
        <f aca="false">IF(OR(B87="",H87=""),"",IF(K87&lt;&gt;"",K87-H87,Paramètres!$C$12-H87))</f>
        <v/>
      </c>
      <c r="Q87" s="29" t="str">
        <f aca="false">IF(B87="","",IFERROR(MATCH(E87,Paramètres!$G$5:$G$7,0),99))</f>
        <v/>
      </c>
      <c r="R87" s="29" t="str">
        <f aca="false">IF(B87="","",IF(OR(Kanban!$C$3="Tous",D87=Kanban!$C$3),1,0))</f>
        <v/>
      </c>
      <c r="S87" s="29" t="str">
        <f aca="false">IF(R87=1,COUNTIFS($F$5:$F$104,F87,$R$5:$R$104,1,$Q$5:$Q$104,"&lt;"&amp;Q87)+COUNTIFS($F$5:F87,F87,$R$5:R87,1,$Q$5:Q87,Q87),"")</f>
        <v/>
      </c>
      <c r="T87" s="29" t="str">
        <f aca="false">IF(S87="","",F87&amp;"|"&amp;S87)</f>
        <v/>
      </c>
      <c r="U87" s="29" t="str">
        <f aca="false">IF(S87="","",A87&amp;"  "&amp;B87&amp;CHAR(10)&amp;"👤 "&amp;D87&amp;"   📅 "&amp;IF(J87="","—",TEXT(DAY(J87),"00")&amp;"/"&amp;TEXT(MONTH(J87),"00"))&amp;CHAR(10)&amp;IF(E87="Haute","🔴 ",IF(E87="Moyenne","🟠 ","🟢 "))&amp;E87&amp;IF(N87="⚠ En retard","   ⚠ En retard",""))</f>
        <v/>
      </c>
    </row>
    <row r="88" customFormat="false" ht="15" hidden="false" customHeight="false" outlineLevel="0" collapsed="false">
      <c r="A88" s="22" t="str">
        <f aca="false">IF(B88="","","T-"&amp;TEXT(ROW()-4,"000"))</f>
        <v/>
      </c>
      <c r="B88" s="23"/>
      <c r="C88" s="23"/>
      <c r="D88" s="23"/>
      <c r="E88" s="23"/>
      <c r="F88" s="23"/>
      <c r="G88" s="23"/>
      <c r="H88" s="24"/>
      <c r="I88" s="24"/>
      <c r="J88" s="24"/>
      <c r="K88" s="24"/>
      <c r="L88" s="25" t="n">
        <f aca="false">IF(B88="",0,IFERROR(INDEX(Paramètres!$D$5:$D$9,MATCH(F88,Paramètres!$B$5:$B$9,0)),0))</f>
        <v>0</v>
      </c>
      <c r="M88" s="26" t="str">
        <f aca="false">IF(OR(B88="",J88="",F88=Paramètres!$B$9),"",J88-Paramètres!$C$12)</f>
        <v/>
      </c>
      <c r="N88" s="27" t="str">
        <f aca="false">IF(B88="","",IF(F88=Paramètres!$B$9,"✔ Terminé",IF(J88="","",IF(J88&lt;Paramètres!$C$12,"⚠ En retard",IF(J88-Paramètres!$C$12&lt;=Paramètres!$C$13,"⏰ Bientôt","OK")))))</f>
        <v/>
      </c>
      <c r="O88" s="26" t="str">
        <f aca="false">IF(OR(B88="",I88=""),"",IF(K88&lt;&gt;"",K88-I88,IF(F88=Paramètres!$B$9,"",Paramètres!$C$12-I88)))</f>
        <v/>
      </c>
      <c r="P88" s="26" t="str">
        <f aca="false">IF(OR(B88="",H88=""),"",IF(K88&lt;&gt;"",K88-H88,Paramètres!$C$12-H88))</f>
        <v/>
      </c>
      <c r="Q88" s="29" t="str">
        <f aca="false">IF(B88="","",IFERROR(MATCH(E88,Paramètres!$G$5:$G$7,0),99))</f>
        <v/>
      </c>
      <c r="R88" s="29" t="str">
        <f aca="false">IF(B88="","",IF(OR(Kanban!$C$3="Tous",D88=Kanban!$C$3),1,0))</f>
        <v/>
      </c>
      <c r="S88" s="29" t="str">
        <f aca="false">IF(R88=1,COUNTIFS($F$5:$F$104,F88,$R$5:$R$104,1,$Q$5:$Q$104,"&lt;"&amp;Q88)+COUNTIFS($F$5:F88,F88,$R$5:R88,1,$Q$5:Q88,Q88),"")</f>
        <v/>
      </c>
      <c r="T88" s="29" t="str">
        <f aca="false">IF(S88="","",F88&amp;"|"&amp;S88)</f>
        <v/>
      </c>
      <c r="U88" s="29" t="str">
        <f aca="false">IF(S88="","",A88&amp;"  "&amp;B88&amp;CHAR(10)&amp;"👤 "&amp;D88&amp;"   📅 "&amp;IF(J88="","—",TEXT(DAY(J88),"00")&amp;"/"&amp;TEXT(MONTH(J88),"00"))&amp;CHAR(10)&amp;IF(E88="Haute","🔴 ",IF(E88="Moyenne","🟠 ","🟢 "))&amp;E88&amp;IF(N88="⚠ En retard","   ⚠ En retard",""))</f>
        <v/>
      </c>
    </row>
    <row r="89" customFormat="false" ht="15" hidden="false" customHeight="false" outlineLevel="0" collapsed="false">
      <c r="A89" s="22" t="str">
        <f aca="false">IF(B89="","","T-"&amp;TEXT(ROW()-4,"000"))</f>
        <v/>
      </c>
      <c r="B89" s="23"/>
      <c r="C89" s="23"/>
      <c r="D89" s="23"/>
      <c r="E89" s="23"/>
      <c r="F89" s="23"/>
      <c r="G89" s="23"/>
      <c r="H89" s="24"/>
      <c r="I89" s="24"/>
      <c r="J89" s="24"/>
      <c r="K89" s="24"/>
      <c r="L89" s="25" t="n">
        <f aca="false">IF(B89="",0,IFERROR(INDEX(Paramètres!$D$5:$D$9,MATCH(F89,Paramètres!$B$5:$B$9,0)),0))</f>
        <v>0</v>
      </c>
      <c r="M89" s="26" t="str">
        <f aca="false">IF(OR(B89="",J89="",F89=Paramètres!$B$9),"",J89-Paramètres!$C$12)</f>
        <v/>
      </c>
      <c r="N89" s="27" t="str">
        <f aca="false">IF(B89="","",IF(F89=Paramètres!$B$9,"✔ Terminé",IF(J89="","",IF(J89&lt;Paramètres!$C$12,"⚠ En retard",IF(J89-Paramètres!$C$12&lt;=Paramètres!$C$13,"⏰ Bientôt","OK")))))</f>
        <v/>
      </c>
      <c r="O89" s="26" t="str">
        <f aca="false">IF(OR(B89="",I89=""),"",IF(K89&lt;&gt;"",K89-I89,IF(F89=Paramètres!$B$9,"",Paramètres!$C$12-I89)))</f>
        <v/>
      </c>
      <c r="P89" s="26" t="str">
        <f aca="false">IF(OR(B89="",H89=""),"",IF(K89&lt;&gt;"",K89-H89,Paramètres!$C$12-H89))</f>
        <v/>
      </c>
      <c r="Q89" s="29" t="str">
        <f aca="false">IF(B89="","",IFERROR(MATCH(E89,Paramètres!$G$5:$G$7,0),99))</f>
        <v/>
      </c>
      <c r="R89" s="29" t="str">
        <f aca="false">IF(B89="","",IF(OR(Kanban!$C$3="Tous",D89=Kanban!$C$3),1,0))</f>
        <v/>
      </c>
      <c r="S89" s="29" t="str">
        <f aca="false">IF(R89=1,COUNTIFS($F$5:$F$104,F89,$R$5:$R$104,1,$Q$5:$Q$104,"&lt;"&amp;Q89)+COUNTIFS($F$5:F89,F89,$R$5:R89,1,$Q$5:Q89,Q89),"")</f>
        <v/>
      </c>
      <c r="T89" s="29" t="str">
        <f aca="false">IF(S89="","",F89&amp;"|"&amp;S89)</f>
        <v/>
      </c>
      <c r="U89" s="29" t="str">
        <f aca="false">IF(S89="","",A89&amp;"  "&amp;B89&amp;CHAR(10)&amp;"👤 "&amp;D89&amp;"   📅 "&amp;IF(J89="","—",TEXT(DAY(J89),"00")&amp;"/"&amp;TEXT(MONTH(J89),"00"))&amp;CHAR(10)&amp;IF(E89="Haute","🔴 ",IF(E89="Moyenne","🟠 ","🟢 "))&amp;E89&amp;IF(N89="⚠ En retard","   ⚠ En retard",""))</f>
        <v/>
      </c>
    </row>
    <row r="90" customFormat="false" ht="15" hidden="false" customHeight="false" outlineLevel="0" collapsed="false">
      <c r="A90" s="22" t="str">
        <f aca="false">IF(B90="","","T-"&amp;TEXT(ROW()-4,"000"))</f>
        <v/>
      </c>
      <c r="B90" s="23"/>
      <c r="C90" s="23"/>
      <c r="D90" s="23"/>
      <c r="E90" s="23"/>
      <c r="F90" s="23"/>
      <c r="G90" s="23"/>
      <c r="H90" s="24"/>
      <c r="I90" s="24"/>
      <c r="J90" s="24"/>
      <c r="K90" s="24"/>
      <c r="L90" s="25" t="n">
        <f aca="false">IF(B90="",0,IFERROR(INDEX(Paramètres!$D$5:$D$9,MATCH(F90,Paramètres!$B$5:$B$9,0)),0))</f>
        <v>0</v>
      </c>
      <c r="M90" s="26" t="str">
        <f aca="false">IF(OR(B90="",J90="",F90=Paramètres!$B$9),"",J90-Paramètres!$C$12)</f>
        <v/>
      </c>
      <c r="N90" s="27" t="str">
        <f aca="false">IF(B90="","",IF(F90=Paramètres!$B$9,"✔ Terminé",IF(J90="","",IF(J90&lt;Paramètres!$C$12,"⚠ En retard",IF(J90-Paramètres!$C$12&lt;=Paramètres!$C$13,"⏰ Bientôt","OK")))))</f>
        <v/>
      </c>
      <c r="O90" s="26" t="str">
        <f aca="false">IF(OR(B90="",I90=""),"",IF(K90&lt;&gt;"",K90-I90,IF(F90=Paramètres!$B$9,"",Paramètres!$C$12-I90)))</f>
        <v/>
      </c>
      <c r="P90" s="26" t="str">
        <f aca="false">IF(OR(B90="",H90=""),"",IF(K90&lt;&gt;"",K90-H90,Paramètres!$C$12-H90))</f>
        <v/>
      </c>
      <c r="Q90" s="29" t="str">
        <f aca="false">IF(B90="","",IFERROR(MATCH(E90,Paramètres!$G$5:$G$7,0),99))</f>
        <v/>
      </c>
      <c r="R90" s="29" t="str">
        <f aca="false">IF(B90="","",IF(OR(Kanban!$C$3="Tous",D90=Kanban!$C$3),1,0))</f>
        <v/>
      </c>
      <c r="S90" s="29" t="str">
        <f aca="false">IF(R90=1,COUNTIFS($F$5:$F$104,F90,$R$5:$R$104,1,$Q$5:$Q$104,"&lt;"&amp;Q90)+COUNTIFS($F$5:F90,F90,$R$5:R90,1,$Q$5:Q90,Q90),"")</f>
        <v/>
      </c>
      <c r="T90" s="29" t="str">
        <f aca="false">IF(S90="","",F90&amp;"|"&amp;S90)</f>
        <v/>
      </c>
      <c r="U90" s="29" t="str">
        <f aca="false">IF(S90="","",A90&amp;"  "&amp;B90&amp;CHAR(10)&amp;"👤 "&amp;D90&amp;"   📅 "&amp;IF(J90="","—",TEXT(DAY(J90),"00")&amp;"/"&amp;TEXT(MONTH(J90),"00"))&amp;CHAR(10)&amp;IF(E90="Haute","🔴 ",IF(E90="Moyenne","🟠 ","🟢 "))&amp;E90&amp;IF(N90="⚠ En retard","   ⚠ En retard",""))</f>
        <v/>
      </c>
    </row>
    <row r="91" customFormat="false" ht="15" hidden="false" customHeight="false" outlineLevel="0" collapsed="false">
      <c r="A91" s="22" t="str">
        <f aca="false">IF(B91="","","T-"&amp;TEXT(ROW()-4,"000"))</f>
        <v/>
      </c>
      <c r="B91" s="23"/>
      <c r="C91" s="23"/>
      <c r="D91" s="23"/>
      <c r="E91" s="23"/>
      <c r="F91" s="23"/>
      <c r="G91" s="23"/>
      <c r="H91" s="24"/>
      <c r="I91" s="24"/>
      <c r="J91" s="24"/>
      <c r="K91" s="24"/>
      <c r="L91" s="25" t="n">
        <f aca="false">IF(B91="",0,IFERROR(INDEX(Paramètres!$D$5:$D$9,MATCH(F91,Paramètres!$B$5:$B$9,0)),0))</f>
        <v>0</v>
      </c>
      <c r="M91" s="26" t="str">
        <f aca="false">IF(OR(B91="",J91="",F91=Paramètres!$B$9),"",J91-Paramètres!$C$12)</f>
        <v/>
      </c>
      <c r="N91" s="27" t="str">
        <f aca="false">IF(B91="","",IF(F91=Paramètres!$B$9,"✔ Terminé",IF(J91="","",IF(J91&lt;Paramètres!$C$12,"⚠ En retard",IF(J91-Paramètres!$C$12&lt;=Paramètres!$C$13,"⏰ Bientôt","OK")))))</f>
        <v/>
      </c>
      <c r="O91" s="26" t="str">
        <f aca="false">IF(OR(B91="",I91=""),"",IF(K91&lt;&gt;"",K91-I91,IF(F91=Paramètres!$B$9,"",Paramètres!$C$12-I91)))</f>
        <v/>
      </c>
      <c r="P91" s="26" t="str">
        <f aca="false">IF(OR(B91="",H91=""),"",IF(K91&lt;&gt;"",K91-H91,Paramètres!$C$12-H91))</f>
        <v/>
      </c>
      <c r="Q91" s="29" t="str">
        <f aca="false">IF(B91="","",IFERROR(MATCH(E91,Paramètres!$G$5:$G$7,0),99))</f>
        <v/>
      </c>
      <c r="R91" s="29" t="str">
        <f aca="false">IF(B91="","",IF(OR(Kanban!$C$3="Tous",D91=Kanban!$C$3),1,0))</f>
        <v/>
      </c>
      <c r="S91" s="29" t="str">
        <f aca="false">IF(R91=1,COUNTIFS($F$5:$F$104,F91,$R$5:$R$104,1,$Q$5:$Q$104,"&lt;"&amp;Q91)+COUNTIFS($F$5:F91,F91,$R$5:R91,1,$Q$5:Q91,Q91),"")</f>
        <v/>
      </c>
      <c r="T91" s="29" t="str">
        <f aca="false">IF(S91="","",F91&amp;"|"&amp;S91)</f>
        <v/>
      </c>
      <c r="U91" s="29" t="str">
        <f aca="false">IF(S91="","",A91&amp;"  "&amp;B91&amp;CHAR(10)&amp;"👤 "&amp;D91&amp;"   📅 "&amp;IF(J91="","—",TEXT(DAY(J91),"00")&amp;"/"&amp;TEXT(MONTH(J91),"00"))&amp;CHAR(10)&amp;IF(E91="Haute","🔴 ",IF(E91="Moyenne","🟠 ","🟢 "))&amp;E91&amp;IF(N91="⚠ En retard","   ⚠ En retard",""))</f>
        <v/>
      </c>
    </row>
    <row r="92" customFormat="false" ht="15" hidden="false" customHeight="false" outlineLevel="0" collapsed="false">
      <c r="A92" s="22" t="str">
        <f aca="false">IF(B92="","","T-"&amp;TEXT(ROW()-4,"000"))</f>
        <v/>
      </c>
      <c r="B92" s="23"/>
      <c r="C92" s="23"/>
      <c r="D92" s="23"/>
      <c r="E92" s="23"/>
      <c r="F92" s="23"/>
      <c r="G92" s="23"/>
      <c r="H92" s="24"/>
      <c r="I92" s="24"/>
      <c r="J92" s="24"/>
      <c r="K92" s="24"/>
      <c r="L92" s="25" t="n">
        <f aca="false">IF(B92="",0,IFERROR(INDEX(Paramètres!$D$5:$D$9,MATCH(F92,Paramètres!$B$5:$B$9,0)),0))</f>
        <v>0</v>
      </c>
      <c r="M92" s="26" t="str">
        <f aca="false">IF(OR(B92="",J92="",F92=Paramètres!$B$9),"",J92-Paramètres!$C$12)</f>
        <v/>
      </c>
      <c r="N92" s="27" t="str">
        <f aca="false">IF(B92="","",IF(F92=Paramètres!$B$9,"✔ Terminé",IF(J92="","",IF(J92&lt;Paramètres!$C$12,"⚠ En retard",IF(J92-Paramètres!$C$12&lt;=Paramètres!$C$13,"⏰ Bientôt","OK")))))</f>
        <v/>
      </c>
      <c r="O92" s="26" t="str">
        <f aca="false">IF(OR(B92="",I92=""),"",IF(K92&lt;&gt;"",K92-I92,IF(F92=Paramètres!$B$9,"",Paramètres!$C$12-I92)))</f>
        <v/>
      </c>
      <c r="P92" s="26" t="str">
        <f aca="false">IF(OR(B92="",H92=""),"",IF(K92&lt;&gt;"",K92-H92,Paramètres!$C$12-H92))</f>
        <v/>
      </c>
      <c r="Q92" s="29" t="str">
        <f aca="false">IF(B92="","",IFERROR(MATCH(E92,Paramètres!$G$5:$G$7,0),99))</f>
        <v/>
      </c>
      <c r="R92" s="29" t="str">
        <f aca="false">IF(B92="","",IF(OR(Kanban!$C$3="Tous",D92=Kanban!$C$3),1,0))</f>
        <v/>
      </c>
      <c r="S92" s="29" t="str">
        <f aca="false">IF(R92=1,COUNTIFS($F$5:$F$104,F92,$R$5:$R$104,1,$Q$5:$Q$104,"&lt;"&amp;Q92)+COUNTIFS($F$5:F92,F92,$R$5:R92,1,$Q$5:Q92,Q92),"")</f>
        <v/>
      </c>
      <c r="T92" s="29" t="str">
        <f aca="false">IF(S92="","",F92&amp;"|"&amp;S92)</f>
        <v/>
      </c>
      <c r="U92" s="29" t="str">
        <f aca="false">IF(S92="","",A92&amp;"  "&amp;B92&amp;CHAR(10)&amp;"👤 "&amp;D92&amp;"   📅 "&amp;IF(J92="","—",TEXT(DAY(J92),"00")&amp;"/"&amp;TEXT(MONTH(J92),"00"))&amp;CHAR(10)&amp;IF(E92="Haute","🔴 ",IF(E92="Moyenne","🟠 ","🟢 "))&amp;E92&amp;IF(N92="⚠ En retard","   ⚠ En retard",""))</f>
        <v/>
      </c>
    </row>
    <row r="93" customFormat="false" ht="15" hidden="false" customHeight="false" outlineLevel="0" collapsed="false">
      <c r="A93" s="22" t="str">
        <f aca="false">IF(B93="","","T-"&amp;TEXT(ROW()-4,"000"))</f>
        <v/>
      </c>
      <c r="B93" s="23"/>
      <c r="C93" s="23"/>
      <c r="D93" s="23"/>
      <c r="E93" s="23"/>
      <c r="F93" s="23"/>
      <c r="G93" s="23"/>
      <c r="H93" s="24"/>
      <c r="I93" s="24"/>
      <c r="J93" s="24"/>
      <c r="K93" s="24"/>
      <c r="L93" s="25" t="n">
        <f aca="false">IF(B93="",0,IFERROR(INDEX(Paramètres!$D$5:$D$9,MATCH(F93,Paramètres!$B$5:$B$9,0)),0))</f>
        <v>0</v>
      </c>
      <c r="M93" s="26" t="str">
        <f aca="false">IF(OR(B93="",J93="",F93=Paramètres!$B$9),"",J93-Paramètres!$C$12)</f>
        <v/>
      </c>
      <c r="N93" s="27" t="str">
        <f aca="false">IF(B93="","",IF(F93=Paramètres!$B$9,"✔ Terminé",IF(J93="","",IF(J93&lt;Paramètres!$C$12,"⚠ En retard",IF(J93-Paramètres!$C$12&lt;=Paramètres!$C$13,"⏰ Bientôt","OK")))))</f>
        <v/>
      </c>
      <c r="O93" s="26" t="str">
        <f aca="false">IF(OR(B93="",I93=""),"",IF(K93&lt;&gt;"",K93-I93,IF(F93=Paramètres!$B$9,"",Paramètres!$C$12-I93)))</f>
        <v/>
      </c>
      <c r="P93" s="26" t="str">
        <f aca="false">IF(OR(B93="",H93=""),"",IF(K93&lt;&gt;"",K93-H93,Paramètres!$C$12-H93))</f>
        <v/>
      </c>
      <c r="Q93" s="29" t="str">
        <f aca="false">IF(B93="","",IFERROR(MATCH(E93,Paramètres!$G$5:$G$7,0),99))</f>
        <v/>
      </c>
      <c r="R93" s="29" t="str">
        <f aca="false">IF(B93="","",IF(OR(Kanban!$C$3="Tous",D93=Kanban!$C$3),1,0))</f>
        <v/>
      </c>
      <c r="S93" s="29" t="str">
        <f aca="false">IF(R93=1,COUNTIFS($F$5:$F$104,F93,$R$5:$R$104,1,$Q$5:$Q$104,"&lt;"&amp;Q93)+COUNTIFS($F$5:F93,F93,$R$5:R93,1,$Q$5:Q93,Q93),"")</f>
        <v/>
      </c>
      <c r="T93" s="29" t="str">
        <f aca="false">IF(S93="","",F93&amp;"|"&amp;S93)</f>
        <v/>
      </c>
      <c r="U93" s="29" t="str">
        <f aca="false">IF(S93="","",A93&amp;"  "&amp;B93&amp;CHAR(10)&amp;"👤 "&amp;D93&amp;"   📅 "&amp;IF(J93="","—",TEXT(DAY(J93),"00")&amp;"/"&amp;TEXT(MONTH(J93),"00"))&amp;CHAR(10)&amp;IF(E93="Haute","🔴 ",IF(E93="Moyenne","🟠 ","🟢 "))&amp;E93&amp;IF(N93="⚠ En retard","   ⚠ En retard",""))</f>
        <v/>
      </c>
    </row>
    <row r="94" customFormat="false" ht="15" hidden="false" customHeight="false" outlineLevel="0" collapsed="false">
      <c r="A94" s="22" t="str">
        <f aca="false">IF(B94="","","T-"&amp;TEXT(ROW()-4,"000"))</f>
        <v/>
      </c>
      <c r="B94" s="23"/>
      <c r="C94" s="23"/>
      <c r="D94" s="23"/>
      <c r="E94" s="23"/>
      <c r="F94" s="23"/>
      <c r="G94" s="23"/>
      <c r="H94" s="24"/>
      <c r="I94" s="24"/>
      <c r="J94" s="24"/>
      <c r="K94" s="24"/>
      <c r="L94" s="25" t="n">
        <f aca="false">IF(B94="",0,IFERROR(INDEX(Paramètres!$D$5:$D$9,MATCH(F94,Paramètres!$B$5:$B$9,0)),0))</f>
        <v>0</v>
      </c>
      <c r="M94" s="26" t="str">
        <f aca="false">IF(OR(B94="",J94="",F94=Paramètres!$B$9),"",J94-Paramètres!$C$12)</f>
        <v/>
      </c>
      <c r="N94" s="27" t="str">
        <f aca="false">IF(B94="","",IF(F94=Paramètres!$B$9,"✔ Terminé",IF(J94="","",IF(J94&lt;Paramètres!$C$12,"⚠ En retard",IF(J94-Paramètres!$C$12&lt;=Paramètres!$C$13,"⏰ Bientôt","OK")))))</f>
        <v/>
      </c>
      <c r="O94" s="26" t="str">
        <f aca="false">IF(OR(B94="",I94=""),"",IF(K94&lt;&gt;"",K94-I94,IF(F94=Paramètres!$B$9,"",Paramètres!$C$12-I94)))</f>
        <v/>
      </c>
      <c r="P94" s="26" t="str">
        <f aca="false">IF(OR(B94="",H94=""),"",IF(K94&lt;&gt;"",K94-H94,Paramètres!$C$12-H94))</f>
        <v/>
      </c>
      <c r="Q94" s="29" t="str">
        <f aca="false">IF(B94="","",IFERROR(MATCH(E94,Paramètres!$G$5:$G$7,0),99))</f>
        <v/>
      </c>
      <c r="R94" s="29" t="str">
        <f aca="false">IF(B94="","",IF(OR(Kanban!$C$3="Tous",D94=Kanban!$C$3),1,0))</f>
        <v/>
      </c>
      <c r="S94" s="29" t="str">
        <f aca="false">IF(R94=1,COUNTIFS($F$5:$F$104,F94,$R$5:$R$104,1,$Q$5:$Q$104,"&lt;"&amp;Q94)+COUNTIFS($F$5:F94,F94,$R$5:R94,1,$Q$5:Q94,Q94),"")</f>
        <v/>
      </c>
      <c r="T94" s="29" t="str">
        <f aca="false">IF(S94="","",F94&amp;"|"&amp;S94)</f>
        <v/>
      </c>
      <c r="U94" s="29" t="str">
        <f aca="false">IF(S94="","",A94&amp;"  "&amp;B94&amp;CHAR(10)&amp;"👤 "&amp;D94&amp;"   📅 "&amp;IF(J94="","—",TEXT(DAY(J94),"00")&amp;"/"&amp;TEXT(MONTH(J94),"00"))&amp;CHAR(10)&amp;IF(E94="Haute","🔴 ",IF(E94="Moyenne","🟠 ","🟢 "))&amp;E94&amp;IF(N94="⚠ En retard","   ⚠ En retard",""))</f>
        <v/>
      </c>
    </row>
    <row r="95" customFormat="false" ht="15" hidden="false" customHeight="false" outlineLevel="0" collapsed="false">
      <c r="A95" s="22" t="str">
        <f aca="false">IF(B95="","","T-"&amp;TEXT(ROW()-4,"000"))</f>
        <v/>
      </c>
      <c r="B95" s="23"/>
      <c r="C95" s="23"/>
      <c r="D95" s="23"/>
      <c r="E95" s="23"/>
      <c r="F95" s="23"/>
      <c r="G95" s="23"/>
      <c r="H95" s="24"/>
      <c r="I95" s="24"/>
      <c r="J95" s="24"/>
      <c r="K95" s="24"/>
      <c r="L95" s="25" t="n">
        <f aca="false">IF(B95="",0,IFERROR(INDEX(Paramètres!$D$5:$D$9,MATCH(F95,Paramètres!$B$5:$B$9,0)),0))</f>
        <v>0</v>
      </c>
      <c r="M95" s="26" t="str">
        <f aca="false">IF(OR(B95="",J95="",F95=Paramètres!$B$9),"",J95-Paramètres!$C$12)</f>
        <v/>
      </c>
      <c r="N95" s="27" t="str">
        <f aca="false">IF(B95="","",IF(F95=Paramètres!$B$9,"✔ Terminé",IF(J95="","",IF(J95&lt;Paramètres!$C$12,"⚠ En retard",IF(J95-Paramètres!$C$12&lt;=Paramètres!$C$13,"⏰ Bientôt","OK")))))</f>
        <v/>
      </c>
      <c r="O95" s="26" t="str">
        <f aca="false">IF(OR(B95="",I95=""),"",IF(K95&lt;&gt;"",K95-I95,IF(F95=Paramètres!$B$9,"",Paramètres!$C$12-I95)))</f>
        <v/>
      </c>
      <c r="P95" s="26" t="str">
        <f aca="false">IF(OR(B95="",H95=""),"",IF(K95&lt;&gt;"",K95-H95,Paramètres!$C$12-H95))</f>
        <v/>
      </c>
      <c r="Q95" s="29" t="str">
        <f aca="false">IF(B95="","",IFERROR(MATCH(E95,Paramètres!$G$5:$G$7,0),99))</f>
        <v/>
      </c>
      <c r="R95" s="29" t="str">
        <f aca="false">IF(B95="","",IF(OR(Kanban!$C$3="Tous",D95=Kanban!$C$3),1,0))</f>
        <v/>
      </c>
      <c r="S95" s="29" t="str">
        <f aca="false">IF(R95=1,COUNTIFS($F$5:$F$104,F95,$R$5:$R$104,1,$Q$5:$Q$104,"&lt;"&amp;Q95)+COUNTIFS($F$5:F95,F95,$R$5:R95,1,$Q$5:Q95,Q95),"")</f>
        <v/>
      </c>
      <c r="T95" s="29" t="str">
        <f aca="false">IF(S95="","",F95&amp;"|"&amp;S95)</f>
        <v/>
      </c>
      <c r="U95" s="29" t="str">
        <f aca="false">IF(S95="","",A95&amp;"  "&amp;B95&amp;CHAR(10)&amp;"👤 "&amp;D95&amp;"   📅 "&amp;IF(J95="","—",TEXT(DAY(J95),"00")&amp;"/"&amp;TEXT(MONTH(J95),"00"))&amp;CHAR(10)&amp;IF(E95="Haute","🔴 ",IF(E95="Moyenne","🟠 ","🟢 "))&amp;E95&amp;IF(N95="⚠ En retard","   ⚠ En retard",""))</f>
        <v/>
      </c>
    </row>
    <row r="96" customFormat="false" ht="15" hidden="false" customHeight="false" outlineLevel="0" collapsed="false">
      <c r="A96" s="22" t="str">
        <f aca="false">IF(B96="","","T-"&amp;TEXT(ROW()-4,"000"))</f>
        <v/>
      </c>
      <c r="B96" s="23"/>
      <c r="C96" s="23"/>
      <c r="D96" s="23"/>
      <c r="E96" s="23"/>
      <c r="F96" s="23"/>
      <c r="G96" s="23"/>
      <c r="H96" s="24"/>
      <c r="I96" s="24"/>
      <c r="J96" s="24"/>
      <c r="K96" s="24"/>
      <c r="L96" s="25" t="n">
        <f aca="false">IF(B96="",0,IFERROR(INDEX(Paramètres!$D$5:$D$9,MATCH(F96,Paramètres!$B$5:$B$9,0)),0))</f>
        <v>0</v>
      </c>
      <c r="M96" s="26" t="str">
        <f aca="false">IF(OR(B96="",J96="",F96=Paramètres!$B$9),"",J96-Paramètres!$C$12)</f>
        <v/>
      </c>
      <c r="N96" s="27" t="str">
        <f aca="false">IF(B96="","",IF(F96=Paramètres!$B$9,"✔ Terminé",IF(J96="","",IF(J96&lt;Paramètres!$C$12,"⚠ En retard",IF(J96-Paramètres!$C$12&lt;=Paramètres!$C$13,"⏰ Bientôt","OK")))))</f>
        <v/>
      </c>
      <c r="O96" s="26" t="str">
        <f aca="false">IF(OR(B96="",I96=""),"",IF(K96&lt;&gt;"",K96-I96,IF(F96=Paramètres!$B$9,"",Paramètres!$C$12-I96)))</f>
        <v/>
      </c>
      <c r="P96" s="26" t="str">
        <f aca="false">IF(OR(B96="",H96=""),"",IF(K96&lt;&gt;"",K96-H96,Paramètres!$C$12-H96))</f>
        <v/>
      </c>
      <c r="Q96" s="29" t="str">
        <f aca="false">IF(B96="","",IFERROR(MATCH(E96,Paramètres!$G$5:$G$7,0),99))</f>
        <v/>
      </c>
      <c r="R96" s="29" t="str">
        <f aca="false">IF(B96="","",IF(OR(Kanban!$C$3="Tous",D96=Kanban!$C$3),1,0))</f>
        <v/>
      </c>
      <c r="S96" s="29" t="str">
        <f aca="false">IF(R96=1,COUNTIFS($F$5:$F$104,F96,$R$5:$R$104,1,$Q$5:$Q$104,"&lt;"&amp;Q96)+COUNTIFS($F$5:F96,F96,$R$5:R96,1,$Q$5:Q96,Q96),"")</f>
        <v/>
      </c>
      <c r="T96" s="29" t="str">
        <f aca="false">IF(S96="","",F96&amp;"|"&amp;S96)</f>
        <v/>
      </c>
      <c r="U96" s="29" t="str">
        <f aca="false">IF(S96="","",A96&amp;"  "&amp;B96&amp;CHAR(10)&amp;"👤 "&amp;D96&amp;"   📅 "&amp;IF(J96="","—",TEXT(DAY(J96),"00")&amp;"/"&amp;TEXT(MONTH(J96),"00"))&amp;CHAR(10)&amp;IF(E96="Haute","🔴 ",IF(E96="Moyenne","🟠 ","🟢 "))&amp;E96&amp;IF(N96="⚠ En retard","   ⚠ En retard",""))</f>
        <v/>
      </c>
    </row>
    <row r="97" customFormat="false" ht="15" hidden="false" customHeight="false" outlineLevel="0" collapsed="false">
      <c r="A97" s="22" t="str">
        <f aca="false">IF(B97="","","T-"&amp;TEXT(ROW()-4,"000"))</f>
        <v/>
      </c>
      <c r="B97" s="23"/>
      <c r="C97" s="23"/>
      <c r="D97" s="23"/>
      <c r="E97" s="23"/>
      <c r="F97" s="23"/>
      <c r="G97" s="23"/>
      <c r="H97" s="24"/>
      <c r="I97" s="24"/>
      <c r="J97" s="24"/>
      <c r="K97" s="24"/>
      <c r="L97" s="25" t="n">
        <f aca="false">IF(B97="",0,IFERROR(INDEX(Paramètres!$D$5:$D$9,MATCH(F97,Paramètres!$B$5:$B$9,0)),0))</f>
        <v>0</v>
      </c>
      <c r="M97" s="26" t="str">
        <f aca="false">IF(OR(B97="",J97="",F97=Paramètres!$B$9),"",J97-Paramètres!$C$12)</f>
        <v/>
      </c>
      <c r="N97" s="27" t="str">
        <f aca="false">IF(B97="","",IF(F97=Paramètres!$B$9,"✔ Terminé",IF(J97="","",IF(J97&lt;Paramètres!$C$12,"⚠ En retard",IF(J97-Paramètres!$C$12&lt;=Paramètres!$C$13,"⏰ Bientôt","OK")))))</f>
        <v/>
      </c>
      <c r="O97" s="26" t="str">
        <f aca="false">IF(OR(B97="",I97=""),"",IF(K97&lt;&gt;"",K97-I97,IF(F97=Paramètres!$B$9,"",Paramètres!$C$12-I97)))</f>
        <v/>
      </c>
      <c r="P97" s="26" t="str">
        <f aca="false">IF(OR(B97="",H97=""),"",IF(K97&lt;&gt;"",K97-H97,Paramètres!$C$12-H97))</f>
        <v/>
      </c>
      <c r="Q97" s="29" t="str">
        <f aca="false">IF(B97="","",IFERROR(MATCH(E97,Paramètres!$G$5:$G$7,0),99))</f>
        <v/>
      </c>
      <c r="R97" s="29" t="str">
        <f aca="false">IF(B97="","",IF(OR(Kanban!$C$3="Tous",D97=Kanban!$C$3),1,0))</f>
        <v/>
      </c>
      <c r="S97" s="29" t="str">
        <f aca="false">IF(R97=1,COUNTIFS($F$5:$F$104,F97,$R$5:$R$104,1,$Q$5:$Q$104,"&lt;"&amp;Q97)+COUNTIFS($F$5:F97,F97,$R$5:R97,1,$Q$5:Q97,Q97),"")</f>
        <v/>
      </c>
      <c r="T97" s="29" t="str">
        <f aca="false">IF(S97="","",F97&amp;"|"&amp;S97)</f>
        <v/>
      </c>
      <c r="U97" s="29" t="str">
        <f aca="false">IF(S97="","",A97&amp;"  "&amp;B97&amp;CHAR(10)&amp;"👤 "&amp;D97&amp;"   📅 "&amp;IF(J97="","—",TEXT(DAY(J97),"00")&amp;"/"&amp;TEXT(MONTH(J97),"00"))&amp;CHAR(10)&amp;IF(E97="Haute","🔴 ",IF(E97="Moyenne","🟠 ","🟢 "))&amp;E97&amp;IF(N97="⚠ En retard","   ⚠ En retard",""))</f>
        <v/>
      </c>
    </row>
    <row r="98" customFormat="false" ht="15" hidden="false" customHeight="false" outlineLevel="0" collapsed="false">
      <c r="A98" s="22" t="str">
        <f aca="false">IF(B98="","","T-"&amp;TEXT(ROW()-4,"000"))</f>
        <v/>
      </c>
      <c r="B98" s="23"/>
      <c r="C98" s="23"/>
      <c r="D98" s="23"/>
      <c r="E98" s="23"/>
      <c r="F98" s="23"/>
      <c r="G98" s="23"/>
      <c r="H98" s="24"/>
      <c r="I98" s="24"/>
      <c r="J98" s="24"/>
      <c r="K98" s="24"/>
      <c r="L98" s="25" t="n">
        <f aca="false">IF(B98="",0,IFERROR(INDEX(Paramètres!$D$5:$D$9,MATCH(F98,Paramètres!$B$5:$B$9,0)),0))</f>
        <v>0</v>
      </c>
      <c r="M98" s="26" t="str">
        <f aca="false">IF(OR(B98="",J98="",F98=Paramètres!$B$9),"",J98-Paramètres!$C$12)</f>
        <v/>
      </c>
      <c r="N98" s="27" t="str">
        <f aca="false">IF(B98="","",IF(F98=Paramètres!$B$9,"✔ Terminé",IF(J98="","",IF(J98&lt;Paramètres!$C$12,"⚠ En retard",IF(J98-Paramètres!$C$12&lt;=Paramètres!$C$13,"⏰ Bientôt","OK")))))</f>
        <v/>
      </c>
      <c r="O98" s="26" t="str">
        <f aca="false">IF(OR(B98="",I98=""),"",IF(K98&lt;&gt;"",K98-I98,IF(F98=Paramètres!$B$9,"",Paramètres!$C$12-I98)))</f>
        <v/>
      </c>
      <c r="P98" s="26" t="str">
        <f aca="false">IF(OR(B98="",H98=""),"",IF(K98&lt;&gt;"",K98-H98,Paramètres!$C$12-H98))</f>
        <v/>
      </c>
      <c r="Q98" s="29" t="str">
        <f aca="false">IF(B98="","",IFERROR(MATCH(E98,Paramètres!$G$5:$G$7,0),99))</f>
        <v/>
      </c>
      <c r="R98" s="29" t="str">
        <f aca="false">IF(B98="","",IF(OR(Kanban!$C$3="Tous",D98=Kanban!$C$3),1,0))</f>
        <v/>
      </c>
      <c r="S98" s="29" t="str">
        <f aca="false">IF(R98=1,COUNTIFS($F$5:$F$104,F98,$R$5:$R$104,1,$Q$5:$Q$104,"&lt;"&amp;Q98)+COUNTIFS($F$5:F98,F98,$R$5:R98,1,$Q$5:Q98,Q98),"")</f>
        <v/>
      </c>
      <c r="T98" s="29" t="str">
        <f aca="false">IF(S98="","",F98&amp;"|"&amp;S98)</f>
        <v/>
      </c>
      <c r="U98" s="29" t="str">
        <f aca="false">IF(S98="","",A98&amp;"  "&amp;B98&amp;CHAR(10)&amp;"👤 "&amp;D98&amp;"   📅 "&amp;IF(J98="","—",TEXT(DAY(J98),"00")&amp;"/"&amp;TEXT(MONTH(J98),"00"))&amp;CHAR(10)&amp;IF(E98="Haute","🔴 ",IF(E98="Moyenne","🟠 ","🟢 "))&amp;E98&amp;IF(N98="⚠ En retard","   ⚠ En retard",""))</f>
        <v/>
      </c>
    </row>
    <row r="99" customFormat="false" ht="15" hidden="false" customHeight="false" outlineLevel="0" collapsed="false">
      <c r="A99" s="22" t="str">
        <f aca="false">IF(B99="","","T-"&amp;TEXT(ROW()-4,"000"))</f>
        <v/>
      </c>
      <c r="B99" s="23"/>
      <c r="C99" s="23"/>
      <c r="D99" s="23"/>
      <c r="E99" s="23"/>
      <c r="F99" s="23"/>
      <c r="G99" s="23"/>
      <c r="H99" s="24"/>
      <c r="I99" s="24"/>
      <c r="J99" s="24"/>
      <c r="K99" s="24"/>
      <c r="L99" s="25" t="n">
        <f aca="false">IF(B99="",0,IFERROR(INDEX(Paramètres!$D$5:$D$9,MATCH(F99,Paramètres!$B$5:$B$9,0)),0))</f>
        <v>0</v>
      </c>
      <c r="M99" s="26" t="str">
        <f aca="false">IF(OR(B99="",J99="",F99=Paramètres!$B$9),"",J99-Paramètres!$C$12)</f>
        <v/>
      </c>
      <c r="N99" s="27" t="str">
        <f aca="false">IF(B99="","",IF(F99=Paramètres!$B$9,"✔ Terminé",IF(J99="","",IF(J99&lt;Paramètres!$C$12,"⚠ En retard",IF(J99-Paramètres!$C$12&lt;=Paramètres!$C$13,"⏰ Bientôt","OK")))))</f>
        <v/>
      </c>
      <c r="O99" s="26" t="str">
        <f aca="false">IF(OR(B99="",I99=""),"",IF(K99&lt;&gt;"",K99-I99,IF(F99=Paramètres!$B$9,"",Paramètres!$C$12-I99)))</f>
        <v/>
      </c>
      <c r="P99" s="26" t="str">
        <f aca="false">IF(OR(B99="",H99=""),"",IF(K99&lt;&gt;"",K99-H99,Paramètres!$C$12-H99))</f>
        <v/>
      </c>
      <c r="Q99" s="29" t="str">
        <f aca="false">IF(B99="","",IFERROR(MATCH(E99,Paramètres!$G$5:$G$7,0),99))</f>
        <v/>
      </c>
      <c r="R99" s="29" t="str">
        <f aca="false">IF(B99="","",IF(OR(Kanban!$C$3="Tous",D99=Kanban!$C$3),1,0))</f>
        <v/>
      </c>
      <c r="S99" s="29" t="str">
        <f aca="false">IF(R99=1,COUNTIFS($F$5:$F$104,F99,$R$5:$R$104,1,$Q$5:$Q$104,"&lt;"&amp;Q99)+COUNTIFS($F$5:F99,F99,$R$5:R99,1,$Q$5:Q99,Q99),"")</f>
        <v/>
      </c>
      <c r="T99" s="29" t="str">
        <f aca="false">IF(S99="","",F99&amp;"|"&amp;S99)</f>
        <v/>
      </c>
      <c r="U99" s="29" t="str">
        <f aca="false">IF(S99="","",A99&amp;"  "&amp;B99&amp;CHAR(10)&amp;"👤 "&amp;D99&amp;"   📅 "&amp;IF(J99="","—",TEXT(DAY(J99),"00")&amp;"/"&amp;TEXT(MONTH(J99),"00"))&amp;CHAR(10)&amp;IF(E99="Haute","🔴 ",IF(E99="Moyenne","🟠 ","🟢 "))&amp;E99&amp;IF(N99="⚠ En retard","   ⚠ En retard",""))</f>
        <v/>
      </c>
    </row>
    <row r="100" customFormat="false" ht="15" hidden="false" customHeight="false" outlineLevel="0" collapsed="false">
      <c r="A100" s="22" t="str">
        <f aca="false">IF(B100="","","T-"&amp;TEXT(ROW()-4,"000"))</f>
        <v/>
      </c>
      <c r="B100" s="23"/>
      <c r="C100" s="23"/>
      <c r="D100" s="23"/>
      <c r="E100" s="23"/>
      <c r="F100" s="23"/>
      <c r="G100" s="23"/>
      <c r="H100" s="24"/>
      <c r="I100" s="24"/>
      <c r="J100" s="24"/>
      <c r="K100" s="24"/>
      <c r="L100" s="25" t="n">
        <f aca="false">IF(B100="",0,IFERROR(INDEX(Paramètres!$D$5:$D$9,MATCH(F100,Paramètres!$B$5:$B$9,0)),0))</f>
        <v>0</v>
      </c>
      <c r="M100" s="26" t="str">
        <f aca="false">IF(OR(B100="",J100="",F100=Paramètres!$B$9),"",J100-Paramètres!$C$12)</f>
        <v/>
      </c>
      <c r="N100" s="27" t="str">
        <f aca="false">IF(B100="","",IF(F100=Paramètres!$B$9,"✔ Terminé",IF(J100="","",IF(J100&lt;Paramètres!$C$12,"⚠ En retard",IF(J100-Paramètres!$C$12&lt;=Paramètres!$C$13,"⏰ Bientôt","OK")))))</f>
        <v/>
      </c>
      <c r="O100" s="26" t="str">
        <f aca="false">IF(OR(B100="",I100=""),"",IF(K100&lt;&gt;"",K100-I100,IF(F100=Paramètres!$B$9,"",Paramètres!$C$12-I100)))</f>
        <v/>
      </c>
      <c r="P100" s="26" t="str">
        <f aca="false">IF(OR(B100="",H100=""),"",IF(K100&lt;&gt;"",K100-H100,Paramètres!$C$12-H100))</f>
        <v/>
      </c>
      <c r="Q100" s="29" t="str">
        <f aca="false">IF(B100="","",IFERROR(MATCH(E100,Paramètres!$G$5:$G$7,0),99))</f>
        <v/>
      </c>
      <c r="R100" s="29" t="str">
        <f aca="false">IF(B100="","",IF(OR(Kanban!$C$3="Tous",D100=Kanban!$C$3),1,0))</f>
        <v/>
      </c>
      <c r="S100" s="29" t="str">
        <f aca="false">IF(R100=1,COUNTIFS($F$5:$F$104,F100,$R$5:$R$104,1,$Q$5:$Q$104,"&lt;"&amp;Q100)+COUNTIFS($F$5:F100,F100,$R$5:R100,1,$Q$5:Q100,Q100),"")</f>
        <v/>
      </c>
      <c r="T100" s="29" t="str">
        <f aca="false">IF(S100="","",F100&amp;"|"&amp;S100)</f>
        <v/>
      </c>
      <c r="U100" s="29" t="str">
        <f aca="false">IF(S100="","",A100&amp;"  "&amp;B100&amp;CHAR(10)&amp;"👤 "&amp;D100&amp;"   📅 "&amp;IF(J100="","—",TEXT(DAY(J100),"00")&amp;"/"&amp;TEXT(MONTH(J100),"00"))&amp;CHAR(10)&amp;IF(E100="Haute","🔴 ",IF(E100="Moyenne","🟠 ","🟢 "))&amp;E100&amp;IF(N100="⚠ En retard","   ⚠ En retard",""))</f>
        <v/>
      </c>
    </row>
    <row r="101" customFormat="false" ht="15" hidden="false" customHeight="false" outlineLevel="0" collapsed="false">
      <c r="A101" s="22" t="str">
        <f aca="false">IF(B101="","","T-"&amp;TEXT(ROW()-4,"000"))</f>
        <v/>
      </c>
      <c r="B101" s="23"/>
      <c r="C101" s="23"/>
      <c r="D101" s="23"/>
      <c r="E101" s="23"/>
      <c r="F101" s="23"/>
      <c r="G101" s="23"/>
      <c r="H101" s="24"/>
      <c r="I101" s="24"/>
      <c r="J101" s="24"/>
      <c r="K101" s="24"/>
      <c r="L101" s="25" t="n">
        <f aca="false">IF(B101="",0,IFERROR(INDEX(Paramètres!$D$5:$D$9,MATCH(F101,Paramètres!$B$5:$B$9,0)),0))</f>
        <v>0</v>
      </c>
      <c r="M101" s="26" t="str">
        <f aca="false">IF(OR(B101="",J101="",F101=Paramètres!$B$9),"",J101-Paramètres!$C$12)</f>
        <v/>
      </c>
      <c r="N101" s="27" t="str">
        <f aca="false">IF(B101="","",IF(F101=Paramètres!$B$9,"✔ Terminé",IF(J101="","",IF(J101&lt;Paramètres!$C$12,"⚠ En retard",IF(J101-Paramètres!$C$12&lt;=Paramètres!$C$13,"⏰ Bientôt","OK")))))</f>
        <v/>
      </c>
      <c r="O101" s="26" t="str">
        <f aca="false">IF(OR(B101="",I101=""),"",IF(K101&lt;&gt;"",K101-I101,IF(F101=Paramètres!$B$9,"",Paramètres!$C$12-I101)))</f>
        <v/>
      </c>
      <c r="P101" s="26" t="str">
        <f aca="false">IF(OR(B101="",H101=""),"",IF(K101&lt;&gt;"",K101-H101,Paramètres!$C$12-H101))</f>
        <v/>
      </c>
      <c r="Q101" s="29" t="str">
        <f aca="false">IF(B101="","",IFERROR(MATCH(E101,Paramètres!$G$5:$G$7,0),99))</f>
        <v/>
      </c>
      <c r="R101" s="29" t="str">
        <f aca="false">IF(B101="","",IF(OR(Kanban!$C$3="Tous",D101=Kanban!$C$3),1,0))</f>
        <v/>
      </c>
      <c r="S101" s="29" t="str">
        <f aca="false">IF(R101=1,COUNTIFS($F$5:$F$104,F101,$R$5:$R$104,1,$Q$5:$Q$104,"&lt;"&amp;Q101)+COUNTIFS($F$5:F101,F101,$R$5:R101,1,$Q$5:Q101,Q101),"")</f>
        <v/>
      </c>
      <c r="T101" s="29" t="str">
        <f aca="false">IF(S101="","",F101&amp;"|"&amp;S101)</f>
        <v/>
      </c>
      <c r="U101" s="29" t="str">
        <f aca="false">IF(S101="","",A101&amp;"  "&amp;B101&amp;CHAR(10)&amp;"👤 "&amp;D101&amp;"   📅 "&amp;IF(J101="","—",TEXT(DAY(J101),"00")&amp;"/"&amp;TEXT(MONTH(J101),"00"))&amp;CHAR(10)&amp;IF(E101="Haute","🔴 ",IF(E101="Moyenne","🟠 ","🟢 "))&amp;E101&amp;IF(N101="⚠ En retard","   ⚠ En retard",""))</f>
        <v/>
      </c>
    </row>
    <row r="102" customFormat="false" ht="15" hidden="false" customHeight="false" outlineLevel="0" collapsed="false">
      <c r="A102" s="22" t="str">
        <f aca="false">IF(B102="","","T-"&amp;TEXT(ROW()-4,"000"))</f>
        <v/>
      </c>
      <c r="B102" s="23"/>
      <c r="C102" s="23"/>
      <c r="D102" s="23"/>
      <c r="E102" s="23"/>
      <c r="F102" s="23"/>
      <c r="G102" s="23"/>
      <c r="H102" s="24"/>
      <c r="I102" s="24"/>
      <c r="J102" s="24"/>
      <c r="K102" s="24"/>
      <c r="L102" s="25" t="n">
        <f aca="false">IF(B102="",0,IFERROR(INDEX(Paramètres!$D$5:$D$9,MATCH(F102,Paramètres!$B$5:$B$9,0)),0))</f>
        <v>0</v>
      </c>
      <c r="M102" s="26" t="str">
        <f aca="false">IF(OR(B102="",J102="",F102=Paramètres!$B$9),"",J102-Paramètres!$C$12)</f>
        <v/>
      </c>
      <c r="N102" s="27" t="str">
        <f aca="false">IF(B102="","",IF(F102=Paramètres!$B$9,"✔ Terminé",IF(J102="","",IF(J102&lt;Paramètres!$C$12,"⚠ En retard",IF(J102-Paramètres!$C$12&lt;=Paramètres!$C$13,"⏰ Bientôt","OK")))))</f>
        <v/>
      </c>
      <c r="O102" s="26" t="str">
        <f aca="false">IF(OR(B102="",I102=""),"",IF(K102&lt;&gt;"",K102-I102,IF(F102=Paramètres!$B$9,"",Paramètres!$C$12-I102)))</f>
        <v/>
      </c>
      <c r="P102" s="26" t="str">
        <f aca="false">IF(OR(B102="",H102=""),"",IF(K102&lt;&gt;"",K102-H102,Paramètres!$C$12-H102))</f>
        <v/>
      </c>
      <c r="Q102" s="29" t="str">
        <f aca="false">IF(B102="","",IFERROR(MATCH(E102,Paramètres!$G$5:$G$7,0),99))</f>
        <v/>
      </c>
      <c r="R102" s="29" t="str">
        <f aca="false">IF(B102="","",IF(OR(Kanban!$C$3="Tous",D102=Kanban!$C$3),1,0))</f>
        <v/>
      </c>
      <c r="S102" s="29" t="str">
        <f aca="false">IF(R102=1,COUNTIFS($F$5:$F$104,F102,$R$5:$R$104,1,$Q$5:$Q$104,"&lt;"&amp;Q102)+COUNTIFS($F$5:F102,F102,$R$5:R102,1,$Q$5:Q102,Q102),"")</f>
        <v/>
      </c>
      <c r="T102" s="29" t="str">
        <f aca="false">IF(S102="","",F102&amp;"|"&amp;S102)</f>
        <v/>
      </c>
      <c r="U102" s="29" t="str">
        <f aca="false">IF(S102="","",A102&amp;"  "&amp;B102&amp;CHAR(10)&amp;"👤 "&amp;D102&amp;"   📅 "&amp;IF(J102="","—",TEXT(DAY(J102),"00")&amp;"/"&amp;TEXT(MONTH(J102),"00"))&amp;CHAR(10)&amp;IF(E102="Haute","🔴 ",IF(E102="Moyenne","🟠 ","🟢 "))&amp;E102&amp;IF(N102="⚠ En retard","   ⚠ En retard",""))</f>
        <v/>
      </c>
    </row>
    <row r="103" customFormat="false" ht="15" hidden="false" customHeight="false" outlineLevel="0" collapsed="false">
      <c r="A103" s="22" t="str">
        <f aca="false">IF(B103="","","T-"&amp;TEXT(ROW()-4,"000"))</f>
        <v/>
      </c>
      <c r="B103" s="23"/>
      <c r="C103" s="23"/>
      <c r="D103" s="23"/>
      <c r="E103" s="23"/>
      <c r="F103" s="23"/>
      <c r="G103" s="23"/>
      <c r="H103" s="24"/>
      <c r="I103" s="24"/>
      <c r="J103" s="24"/>
      <c r="K103" s="24"/>
      <c r="L103" s="25" t="n">
        <f aca="false">IF(B103="",0,IFERROR(INDEX(Paramètres!$D$5:$D$9,MATCH(F103,Paramètres!$B$5:$B$9,0)),0))</f>
        <v>0</v>
      </c>
      <c r="M103" s="26" t="str">
        <f aca="false">IF(OR(B103="",J103="",F103=Paramètres!$B$9),"",J103-Paramètres!$C$12)</f>
        <v/>
      </c>
      <c r="N103" s="27" t="str">
        <f aca="false">IF(B103="","",IF(F103=Paramètres!$B$9,"✔ Terminé",IF(J103="","",IF(J103&lt;Paramètres!$C$12,"⚠ En retard",IF(J103-Paramètres!$C$12&lt;=Paramètres!$C$13,"⏰ Bientôt","OK")))))</f>
        <v/>
      </c>
      <c r="O103" s="26" t="str">
        <f aca="false">IF(OR(B103="",I103=""),"",IF(K103&lt;&gt;"",K103-I103,IF(F103=Paramètres!$B$9,"",Paramètres!$C$12-I103)))</f>
        <v/>
      </c>
      <c r="P103" s="26" t="str">
        <f aca="false">IF(OR(B103="",H103=""),"",IF(K103&lt;&gt;"",K103-H103,Paramètres!$C$12-H103))</f>
        <v/>
      </c>
      <c r="Q103" s="29" t="str">
        <f aca="false">IF(B103="","",IFERROR(MATCH(E103,Paramètres!$G$5:$G$7,0),99))</f>
        <v/>
      </c>
      <c r="R103" s="29" t="str">
        <f aca="false">IF(B103="","",IF(OR(Kanban!$C$3="Tous",D103=Kanban!$C$3),1,0))</f>
        <v/>
      </c>
      <c r="S103" s="29" t="str">
        <f aca="false">IF(R103=1,COUNTIFS($F$5:$F$104,F103,$R$5:$R$104,1,$Q$5:$Q$104,"&lt;"&amp;Q103)+COUNTIFS($F$5:F103,F103,$R$5:R103,1,$Q$5:Q103,Q103),"")</f>
        <v/>
      </c>
      <c r="T103" s="29" t="str">
        <f aca="false">IF(S103="","",F103&amp;"|"&amp;S103)</f>
        <v/>
      </c>
      <c r="U103" s="29" t="str">
        <f aca="false">IF(S103="","",A103&amp;"  "&amp;B103&amp;CHAR(10)&amp;"👤 "&amp;D103&amp;"   📅 "&amp;IF(J103="","—",TEXT(DAY(J103),"00")&amp;"/"&amp;TEXT(MONTH(J103),"00"))&amp;CHAR(10)&amp;IF(E103="Haute","🔴 ",IF(E103="Moyenne","🟠 ","🟢 "))&amp;E103&amp;IF(N103="⚠ En retard","   ⚠ En retard",""))</f>
        <v/>
      </c>
    </row>
    <row r="104" customFormat="false" ht="15" hidden="false" customHeight="false" outlineLevel="0" collapsed="false">
      <c r="A104" s="22" t="str">
        <f aca="false">IF(B104="","","T-"&amp;TEXT(ROW()-4,"000"))</f>
        <v/>
      </c>
      <c r="B104" s="23"/>
      <c r="C104" s="23"/>
      <c r="D104" s="23"/>
      <c r="E104" s="23"/>
      <c r="F104" s="23"/>
      <c r="G104" s="23"/>
      <c r="H104" s="24"/>
      <c r="I104" s="24"/>
      <c r="J104" s="24"/>
      <c r="K104" s="24"/>
      <c r="L104" s="25" t="n">
        <f aca="false">IF(B104="",0,IFERROR(INDEX(Paramètres!$D$5:$D$9,MATCH(F104,Paramètres!$B$5:$B$9,0)),0))</f>
        <v>0</v>
      </c>
      <c r="M104" s="26" t="str">
        <f aca="false">IF(OR(B104="",J104="",F104=Paramètres!$B$9),"",J104-Paramètres!$C$12)</f>
        <v/>
      </c>
      <c r="N104" s="27" t="str">
        <f aca="false">IF(B104="","",IF(F104=Paramètres!$B$9,"✔ Terminé",IF(J104="","",IF(J104&lt;Paramètres!$C$12,"⚠ En retard",IF(J104-Paramètres!$C$12&lt;=Paramètres!$C$13,"⏰ Bientôt","OK")))))</f>
        <v/>
      </c>
      <c r="O104" s="26" t="str">
        <f aca="false">IF(OR(B104="",I104=""),"",IF(K104&lt;&gt;"",K104-I104,IF(F104=Paramètres!$B$9,"",Paramètres!$C$12-I104)))</f>
        <v/>
      </c>
      <c r="P104" s="26" t="str">
        <f aca="false">IF(OR(B104="",H104=""),"",IF(K104&lt;&gt;"",K104-H104,Paramètres!$C$12-H104))</f>
        <v/>
      </c>
      <c r="Q104" s="29" t="str">
        <f aca="false">IF(B104="","",IFERROR(MATCH(E104,Paramètres!$G$5:$G$7,0),99))</f>
        <v/>
      </c>
      <c r="R104" s="29" t="str">
        <f aca="false">IF(B104="","",IF(OR(Kanban!$C$3="Tous",D104=Kanban!$C$3),1,0))</f>
        <v/>
      </c>
      <c r="S104" s="29" t="str">
        <f aca="false">IF(R104=1,COUNTIFS($F$5:$F$104,F104,$R$5:$R$104,1,$Q$5:$Q$104,"&lt;"&amp;Q104)+COUNTIFS($F$5:F104,F104,$R$5:R104,1,$Q$5:Q104,Q104),"")</f>
        <v/>
      </c>
      <c r="T104" s="29" t="str">
        <f aca="false">IF(S104="","",F104&amp;"|"&amp;S104)</f>
        <v/>
      </c>
      <c r="U104" s="29" t="str">
        <f aca="false">IF(S104="","",A104&amp;"  "&amp;B104&amp;CHAR(10)&amp;"👤 "&amp;D104&amp;"   📅 "&amp;IF(J104="","—",TEXT(DAY(J104),"00")&amp;"/"&amp;TEXT(MONTH(J104),"00"))&amp;CHAR(10)&amp;IF(E104="Haute","🔴 ",IF(E104="Moyenne","🟠 ","🟢 "))&amp;E104&amp;IF(N104="⚠ En retard","   ⚠ En retard",""))</f>
        <v/>
      </c>
    </row>
  </sheetData>
  <autoFilter ref="A4:P104"/>
  <conditionalFormatting sqref="A5:K104">
    <cfRule type="expression" priority="2" aboveAverage="0" equalAverage="0" bottom="0" percent="0" rank="0" text="" dxfId="16">
      <formula>$F5=Paramètres!$B$9</formula>
    </cfRule>
  </conditionalFormatting>
  <conditionalFormatting sqref="N5:N104">
    <cfRule type="expression" priority="3" aboveAverage="0" equalAverage="0" bottom="0" percent="0" rank="0" text="" dxfId="17">
      <formula>N5="⚠ En retard"</formula>
    </cfRule>
    <cfRule type="expression" priority="4" aboveAverage="0" equalAverage="0" bottom="0" percent="0" rank="0" text="" dxfId="18">
      <formula>N5="⏰ Bientôt"</formula>
    </cfRule>
  </conditionalFormatting>
  <conditionalFormatting sqref="L5:L104">
    <cfRule type="dataBar" priority="5">
      <dataBar showValue="1" minLength="10" maxLength="90">
        <cfvo type="num" val="0"/>
        <cfvo type="num" val="1"/>
        <color rgb="FF63BE7B"/>
      </dataBar>
      <extLst>
        <ext xmlns:x14="http://schemas.microsoft.com/office/spreadsheetml/2009/9/main" uri="{B025F937-C7B1-47D3-B67F-A62EFF666E3E}">
          <x14:id>{FCB159E1-6290-4B28-8F4C-1D2A9230ED48}</x14:id>
        </ext>
      </extLst>
    </cfRule>
  </conditionalFormatting>
  <dataValidations count="6">
    <dataValidation allowBlank="true" errorStyle="stop" operator="between" showDropDown="false" showErrorMessage="true" showInputMessage="false" sqref="C5:C104" type="list">
      <formula1>Paramètres!$L$5:$L$10</formula1>
      <formula2>0</formula2>
    </dataValidation>
    <dataValidation allowBlank="true" errorStyle="stop" operator="between" showDropDown="false" showErrorMessage="true" showInputMessage="false" sqref="D5:D104" type="list">
      <formula1>Paramètres!$I$5:$I$10</formula1>
      <formula2>0</formula2>
    </dataValidation>
    <dataValidation allowBlank="true" errorStyle="stop" operator="between" showDropDown="false" showErrorMessage="true" showInputMessage="false" sqref="E5:E104" type="list">
      <formula1>Paramètres!$G$5:$G$7</formula1>
      <formula2>0</formula2>
    </dataValidation>
    <dataValidation allowBlank="true" errorStyle="stop" operator="between" showDropDown="false" showErrorMessage="true" showInputMessage="false" sqref="F5:F104" type="list">
      <formula1>Paramètres!$B$5:$B$9</formula1>
      <formula2>0</formula2>
    </dataValidation>
    <dataValidation allowBlank="true" error="Saisissez une date valide" errorStyle="stop" operator="greaterThan" showDropDown="false" showErrorMessage="true" showInputMessage="false" sqref="H5:K104" type="date">
      <formula1>36526</formula1>
      <formula2>0</formula2>
    </dataValidation>
    <dataValidation allowBlank="true" error="Nombre d'heures ≥ 0" errorStyle="stop" operator="greaterThanOrEqual" showDropDown="false" showErrorMessage="true" showInputMessage="false" sqref="G5:G10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CB159E1-6290-4B28-8F4C-1D2A9230ED48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BE7B"/>
              <x14:axisColor rgb="FF000000"/>
            </x14:dataBar>
          </x14:cfRule>
          <xm:sqref>L5:L104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4" min="2" style="0" width="14"/>
  </cols>
  <sheetData>
    <row r="1" customFormat="false" ht="26.8" hidden="false" customHeight="false" outlineLevel="0" collapsed="false">
      <c r="B1" s="1" t="s">
        <v>63</v>
      </c>
    </row>
    <row r="2" customFormat="false" ht="15" hidden="false" customHeight="false" outlineLevel="0" collapsed="false">
      <c r="B2" s="19" t="str">
        <f aca="false">"Mis à jour le "&amp;TEXT(DAY(Paramètres!$C$12),"00")&amp;"/"&amp;TEXT(MONTH(Paramètres!$C$12),"00")&amp;"/"&amp;YEAR(Paramètres!$C$12)</f>
        <v>Mis à jour le 13/10/2026</v>
      </c>
    </row>
    <row r="4" customFormat="false" ht="15" hidden="false" customHeight="false" outlineLevel="0" collapsed="false">
      <c r="B4" s="30" t="s">
        <v>64</v>
      </c>
      <c r="C4" s="30"/>
      <c r="D4" s="31" t="s">
        <v>65</v>
      </c>
      <c r="E4" s="31"/>
      <c r="F4" s="31" t="s">
        <v>66</v>
      </c>
      <c r="G4" s="31"/>
      <c r="H4" s="32" t="s">
        <v>67</v>
      </c>
      <c r="I4" s="32"/>
      <c r="J4" s="33" t="s">
        <v>68</v>
      </c>
      <c r="K4" s="33"/>
      <c r="L4" s="34" t="s">
        <v>69</v>
      </c>
      <c r="M4" s="34"/>
    </row>
    <row r="5" customFormat="false" ht="39.75" hidden="false" customHeight="true" outlineLevel="0" collapsed="false">
      <c r="B5" s="35" t="n">
        <f aca="false">COUNTA(Tâches!$B$5:$B$104)</f>
        <v>19</v>
      </c>
      <c r="C5" s="35"/>
      <c r="D5" s="36" t="n">
        <f aca="false">COUNTIF(Tâches!$F$5:$F$104,Paramètres!$B$9)</f>
        <v>7</v>
      </c>
      <c r="E5" s="36"/>
      <c r="F5" s="37" t="n">
        <f aca="false">IFERROR(SUMPRODUCT(Tâches!$G$5:$G$104,Tâches!$L$5:$L$104)/SUM(Tâches!$G$5:$G$104),0)</f>
        <v>0.431623931623932</v>
      </c>
      <c r="G5" s="37"/>
      <c r="H5" s="38" t="n">
        <f aca="false">COUNTIF(Tâches!$N$5:$N$104,"⚠ En retard")</f>
        <v>2</v>
      </c>
      <c r="I5" s="38"/>
      <c r="J5" s="39" t="n">
        <f aca="false">COUNTIF(Tâches!$F$5:$F$104,Paramètres!$B$7)</f>
        <v>3</v>
      </c>
      <c r="K5" s="39"/>
      <c r="L5" s="40" t="n">
        <f aca="false">IFERROR(AVERAGEIFS(Tâches!$O$5:$O$104,Tâches!$F$5:$F$104,Paramètres!$B$9),"-")</f>
        <v>8.57142857142857</v>
      </c>
      <c r="M5" s="40"/>
    </row>
    <row r="8" customFormat="false" ht="15" hidden="false" customHeight="false" outlineLevel="0" collapsed="false">
      <c r="B8" s="41" t="s">
        <v>11</v>
      </c>
      <c r="C8" s="41" t="s">
        <v>70</v>
      </c>
      <c r="D8" s="41" t="s">
        <v>71</v>
      </c>
      <c r="F8" s="41" t="s">
        <v>10</v>
      </c>
      <c r="G8" s="41" t="s">
        <v>70</v>
      </c>
      <c r="H8" s="41" t="s">
        <v>67</v>
      </c>
      <c r="J8" s="41" t="s">
        <v>8</v>
      </c>
      <c r="K8" s="41" t="s">
        <v>70</v>
      </c>
      <c r="L8" s="41" t="s">
        <v>65</v>
      </c>
    </row>
    <row r="9" customFormat="false" ht="15" hidden="false" customHeight="false" outlineLevel="0" collapsed="false">
      <c r="B9" s="42" t="str">
        <f aca="false">Paramètres!B5</f>
        <v>Backlog</v>
      </c>
      <c r="C9" s="42" t="n">
        <f aca="false">COUNTIF(Tâches!$F$5:$F$104,B9)</f>
        <v>3</v>
      </c>
      <c r="D9" s="42" t="n">
        <f aca="false">SUMIFS(Tâches!$G$5:$G$104,Tâches!$F$5:$F$104,B9)</f>
        <v>76</v>
      </c>
      <c r="F9" s="42" t="str">
        <f aca="false">Paramètres!G5</f>
        <v>Haute</v>
      </c>
      <c r="G9" s="42" t="n">
        <f aca="false">COUNTIF(Tâches!$E$5:$E$104,F9)</f>
        <v>8</v>
      </c>
      <c r="H9" s="42" t="n">
        <f aca="false">COUNTIFS(Tâches!$E$5:$E$104,F9,Tâches!$N$5:$N$104,"⚠ En retard")</f>
        <v>0</v>
      </c>
      <c r="J9" s="42" t="str">
        <f aca="false">IF(Paramètres!L5="","",Paramètres!L5)</f>
        <v>Admin</v>
      </c>
      <c r="K9" s="42" t="n">
        <f aca="false">IF(J9="","",COUNTIF(Tâches!$C$5:$C$104,J9))</f>
        <v>6</v>
      </c>
      <c r="L9" s="42" t="n">
        <f aca="false">IF(J9="","",COUNTIFS(Tâches!$C$5:$C$104,J9,Tâches!$F$5:$F$104,Paramètres!$B$9))</f>
        <v>3</v>
      </c>
    </row>
    <row r="10" customFormat="false" ht="15" hidden="false" customHeight="false" outlineLevel="0" collapsed="false">
      <c r="B10" s="42" t="str">
        <f aca="false">Paramètres!B6</f>
        <v>À faire</v>
      </c>
      <c r="C10" s="42" t="n">
        <f aca="false">COUNTIF(Tâches!$F$5:$F$104,B10)</f>
        <v>4</v>
      </c>
      <c r="D10" s="42" t="n">
        <f aca="false">SUMIFS(Tâches!$G$5:$G$104,Tâches!$F$5:$F$104,B10)</f>
        <v>35</v>
      </c>
      <c r="F10" s="42" t="str">
        <f aca="false">Paramètres!G6</f>
        <v>Moyenne</v>
      </c>
      <c r="G10" s="42" t="n">
        <f aca="false">COUNTIF(Tâches!$E$5:$E$104,F10)</f>
        <v>7</v>
      </c>
      <c r="H10" s="42" t="n">
        <f aca="false">COUNTIFS(Tâches!$E$5:$E$104,F10,Tâches!$N$5:$N$104,"⚠ En retard")</f>
        <v>1</v>
      </c>
      <c r="J10" s="42" t="str">
        <f aca="false">IF(Paramètres!L6="","",Paramètres!L6)</f>
        <v>Conception</v>
      </c>
      <c r="K10" s="42" t="n">
        <f aca="false">IF(J10="","",COUNTIF(Tâches!$C$5:$C$104,J10))</f>
        <v>2</v>
      </c>
      <c r="L10" s="42" t="n">
        <f aca="false">IF(J10="","",COUNTIFS(Tâches!$C$5:$C$104,J10,Tâches!$F$5:$F$104,Paramètres!$B$9))</f>
        <v>2</v>
      </c>
    </row>
    <row r="11" customFormat="false" ht="15" hidden="false" customHeight="false" outlineLevel="0" collapsed="false">
      <c r="B11" s="42" t="str">
        <f aca="false">Paramètres!B7</f>
        <v>En cours</v>
      </c>
      <c r="C11" s="42" t="n">
        <f aca="false">COUNTIF(Tâches!$F$5:$F$104,B11)</f>
        <v>3</v>
      </c>
      <c r="D11" s="42" t="n">
        <f aca="false">SUMIFS(Tâches!$G$5:$G$104,Tâches!$F$5:$F$104,B11)</f>
        <v>40</v>
      </c>
      <c r="F11" s="42" t="str">
        <f aca="false">Paramètres!G7</f>
        <v>Basse</v>
      </c>
      <c r="G11" s="42" t="n">
        <f aca="false">COUNTIF(Tâches!$E$5:$E$104,F11)</f>
        <v>4</v>
      </c>
      <c r="H11" s="42" t="n">
        <f aca="false">COUNTIFS(Tâches!$E$5:$E$104,F11,Tâches!$N$5:$N$104,"⚠ En retard")</f>
        <v>1</v>
      </c>
      <c r="J11" s="42" t="str">
        <f aca="false">IF(Paramètres!L7="","",Paramètres!L7)</f>
        <v>Développement</v>
      </c>
      <c r="K11" s="42" t="n">
        <f aca="false">IF(J11="","",COUNTIF(Tâches!$C$5:$C$104,J11))</f>
        <v>5</v>
      </c>
      <c r="L11" s="42" t="n">
        <f aca="false">IF(J11="","",COUNTIFS(Tâches!$C$5:$C$104,J11,Tâches!$F$5:$F$104,Paramètres!$B$9))</f>
        <v>1</v>
      </c>
    </row>
    <row r="12" customFormat="false" ht="15" hidden="false" customHeight="false" outlineLevel="0" collapsed="false">
      <c r="B12" s="42" t="str">
        <f aca="false">Paramètres!B8</f>
        <v>En revue</v>
      </c>
      <c r="C12" s="42" t="n">
        <f aca="false">COUNTIF(Tâches!$F$5:$F$104,B12)</f>
        <v>2</v>
      </c>
      <c r="D12" s="42" t="n">
        <f aca="false">SUMIFS(Tâches!$G$5:$G$104,Tâches!$F$5:$F$104,B12)</f>
        <v>20</v>
      </c>
      <c r="J12" s="42" t="str">
        <f aca="false">IF(Paramètres!L8="","",Paramètres!L8)</f>
        <v>Marketing</v>
      </c>
      <c r="K12" s="42" t="n">
        <f aca="false">IF(J12="","",COUNTIF(Tâches!$C$5:$C$104,J12))</f>
        <v>3</v>
      </c>
      <c r="L12" s="42" t="n">
        <f aca="false">IF(J12="","",COUNTIFS(Tâches!$C$5:$C$104,J12,Tâches!$F$5:$F$104,Paramètres!$B$9))</f>
        <v>1</v>
      </c>
    </row>
    <row r="13" customFormat="false" ht="15" hidden="false" customHeight="false" outlineLevel="0" collapsed="false">
      <c r="B13" s="42" t="str">
        <f aca="false">Paramètres!B9</f>
        <v>Terminé</v>
      </c>
      <c r="C13" s="42" t="n">
        <f aca="false">COUNTIF(Tâches!$F$5:$F$104,B13)</f>
        <v>7</v>
      </c>
      <c r="D13" s="42" t="n">
        <f aca="false">SUMIFS(Tâches!$G$5:$G$104,Tâches!$F$5:$F$104,B13)</f>
        <v>63</v>
      </c>
      <c r="J13" s="42" t="str">
        <f aca="false">IF(Paramètres!L9="","",Paramètres!L9)</f>
        <v>Qualité</v>
      </c>
      <c r="K13" s="42" t="n">
        <f aca="false">IF(J13="","",COUNTIF(Tâches!$C$5:$C$104,J13))</f>
        <v>3</v>
      </c>
      <c r="L13" s="42" t="n">
        <f aca="false">IF(J13="","",COUNTIFS(Tâches!$C$5:$C$104,J13,Tâches!$F$5:$F$104,Paramètres!$B$9))</f>
        <v>0</v>
      </c>
    </row>
    <row r="14" customFormat="false" ht="15" hidden="false" customHeight="false" outlineLevel="0" collapsed="false">
      <c r="J14" s="42" t="str">
        <f aca="false">IF(Paramètres!L10="","",Paramètres!L10)</f>
        <v/>
      </c>
      <c r="K14" s="42" t="str">
        <f aca="false">IF(J14="","",COUNTIF(Tâches!$C$5:$C$104,J14))</f>
        <v/>
      </c>
      <c r="L14" s="42" t="str">
        <f aca="false">IF(J14="","",COUNTIFS(Tâches!$C$5:$C$104,J14,Tâches!$F$5:$F$104,Paramètres!$B$9))</f>
        <v/>
      </c>
    </row>
    <row r="17" customFormat="false" ht="30" hidden="false" customHeight="true" outlineLevel="0" collapsed="false">
      <c r="B17" s="41" t="s">
        <v>9</v>
      </c>
      <c r="C17" s="41" t="s">
        <v>72</v>
      </c>
      <c r="D17" s="41" t="s">
        <v>73</v>
      </c>
      <c r="E17" s="41" t="s">
        <v>67</v>
      </c>
      <c r="F17" s="41" t="s">
        <v>74</v>
      </c>
      <c r="G17" s="41" t="s">
        <v>75</v>
      </c>
      <c r="H17" s="41" t="s">
        <v>76</v>
      </c>
      <c r="J17" s="41" t="s">
        <v>77</v>
      </c>
      <c r="K17" s="41" t="s">
        <v>65</v>
      </c>
      <c r="L17" s="41" t="s">
        <v>78</v>
      </c>
    </row>
    <row r="18" customFormat="false" ht="15" hidden="false" customHeight="false" outlineLevel="0" collapsed="false">
      <c r="B18" s="42" t="str">
        <f aca="false">IF(Paramètres!I5="","",Paramètres!I5)</f>
        <v>Alice</v>
      </c>
      <c r="C18" s="42" t="n">
        <f aca="false">IF(B18="","",COUNTIF(Tâches!$D$5:$D$104,B18))</f>
        <v>4</v>
      </c>
      <c r="D18" s="42" t="n">
        <f aca="false">IF(B18="","",COUNTIFS(Tâches!$D$5:$D$104,B18,Tâches!$F$5:$F$104,"&lt;&gt;"&amp;Paramètres!$B$9))</f>
        <v>2</v>
      </c>
      <c r="E18" s="42" t="n">
        <f aca="false">IF(B18="","",COUNTIFS(Tâches!$D$5:$D$104,B18,Tâches!$N$5:$N$104,"⚠ En retard"))</f>
        <v>1</v>
      </c>
      <c r="F18" s="42" t="n">
        <f aca="false">IF(B18="","",SUMIFS(Tâches!$G$5:$G$104,Tâches!$D$5:$D$104,B18,Tâches!$F$5:$F$104,"&lt;&gt;"&amp;Paramètres!$B$9))</f>
        <v>20</v>
      </c>
      <c r="G18" s="42" t="n">
        <f aca="false">IF(B18="","",Paramètres!J5)</f>
        <v>35</v>
      </c>
      <c r="H18" s="43" t="n">
        <f aca="false">IF(OR(B18="",G18=0),"",F18/G18)</f>
        <v>0.571428571428571</v>
      </c>
      <c r="J18" s="42" t="str">
        <f aca="false">TEXT(DAY(L18),"00")&amp;"/"&amp;TEXT(MONTH(L18),"00")</f>
        <v>24/08</v>
      </c>
      <c r="K18" s="42" t="n">
        <f aca="false">COUNTIFS(Tâches!$K$5:$K$104,"&gt;="&amp;L18,Tâches!$K$5:$K$104,"&lt;="&amp;(L18+6),Tâches!$F$5:$F$104,Paramètres!$B$9)</f>
        <v>0</v>
      </c>
      <c r="L18" s="44" t="n">
        <f aca="false">Paramètres!$C$12-WEEKDAY(Paramètres!$C$12,2)+1-7*7</f>
        <v>46258</v>
      </c>
    </row>
    <row r="19" customFormat="false" ht="15" hidden="false" customHeight="false" outlineLevel="0" collapsed="false">
      <c r="B19" s="42" t="str">
        <f aca="false">IF(Paramètres!I6="","",Paramètres!I6)</f>
        <v>Karim</v>
      </c>
      <c r="C19" s="42" t="n">
        <f aca="false">IF(B19="","",COUNTIF(Tâches!$D$5:$D$104,B19))</f>
        <v>5</v>
      </c>
      <c r="D19" s="42" t="n">
        <f aca="false">IF(B19="","",COUNTIFS(Tâches!$D$5:$D$104,B19,Tâches!$F$5:$F$104,"&lt;&gt;"&amp;Paramètres!$B$9))</f>
        <v>4</v>
      </c>
      <c r="E19" s="42" t="n">
        <f aca="false">IF(B19="","",COUNTIFS(Tâches!$D$5:$D$104,B19,Tâches!$N$5:$N$104,"⚠ En retard"))</f>
        <v>1</v>
      </c>
      <c r="F19" s="42" t="n">
        <f aca="false">IF(B19="","",SUMIFS(Tâches!$G$5:$G$104,Tâches!$D$5:$D$104,B19,Tâches!$F$5:$F$104,"&lt;&gt;"&amp;Paramètres!$B$9))</f>
        <v>41</v>
      </c>
      <c r="G19" s="42" t="n">
        <f aca="false">IF(B19="","",Paramètres!J6)</f>
        <v>35</v>
      </c>
      <c r="H19" s="43" t="n">
        <f aca="false">IF(OR(B19="",G19=0),"",F19/G19)</f>
        <v>1.17142857142857</v>
      </c>
      <c r="J19" s="42" t="str">
        <f aca="false">TEXT(DAY(L19),"00")&amp;"/"&amp;TEXT(MONTH(L19),"00")</f>
        <v>31/08</v>
      </c>
      <c r="K19" s="42" t="n">
        <f aca="false">COUNTIFS(Tâches!$K$5:$K$104,"&gt;="&amp;L19,Tâches!$K$5:$K$104,"&lt;="&amp;(L19+6),Tâches!$F$5:$F$104,Paramètres!$B$9)</f>
        <v>0</v>
      </c>
      <c r="L19" s="44" t="n">
        <f aca="false">Paramètres!$C$12-WEEKDAY(Paramètres!$C$12,2)+1-7*6</f>
        <v>46265</v>
      </c>
    </row>
    <row r="20" customFormat="false" ht="15" hidden="false" customHeight="false" outlineLevel="0" collapsed="false">
      <c r="B20" s="42" t="str">
        <f aca="false">IF(Paramètres!I7="","",Paramètres!I7)</f>
        <v>Sara</v>
      </c>
      <c r="C20" s="42" t="n">
        <f aca="false">IF(B20="","",COUNTIF(Tâches!$D$5:$D$104,B20))</f>
        <v>5</v>
      </c>
      <c r="D20" s="42" t="n">
        <f aca="false">IF(B20="","",COUNTIFS(Tâches!$D$5:$D$104,B20,Tâches!$F$5:$F$104,"&lt;&gt;"&amp;Paramètres!$B$9))</f>
        <v>2</v>
      </c>
      <c r="E20" s="42" t="n">
        <f aca="false">IF(B20="","",COUNTIFS(Tâches!$D$5:$D$104,B20,Tâches!$N$5:$N$104,"⚠ En retard"))</f>
        <v>0</v>
      </c>
      <c r="F20" s="42" t="n">
        <f aca="false">IF(B20="","",SUMIFS(Tâches!$G$5:$G$104,Tâches!$D$5:$D$104,B20,Tâches!$F$5:$F$104,"&lt;&gt;"&amp;Paramètres!$B$9))</f>
        <v>18</v>
      </c>
      <c r="G20" s="42" t="n">
        <f aca="false">IF(B20="","",Paramètres!J7)</f>
        <v>30</v>
      </c>
      <c r="H20" s="43" t="n">
        <f aca="false">IF(OR(B20="",G20=0),"",F20/G20)</f>
        <v>0.6</v>
      </c>
      <c r="J20" s="42" t="str">
        <f aca="false">TEXT(DAY(L20),"00")&amp;"/"&amp;TEXT(MONTH(L20),"00")</f>
        <v>07/09</v>
      </c>
      <c r="K20" s="42" t="n">
        <f aca="false">COUNTIFS(Tâches!$K$5:$K$104,"&gt;="&amp;L20,Tâches!$K$5:$K$104,"&lt;="&amp;(L20+6),Tâches!$F$5:$F$104,Paramètres!$B$9)</f>
        <v>0</v>
      </c>
      <c r="L20" s="44" t="n">
        <f aca="false">Paramètres!$C$12-WEEKDAY(Paramètres!$C$12,2)+1-7*5</f>
        <v>46272</v>
      </c>
    </row>
    <row r="21" customFormat="false" ht="15" hidden="false" customHeight="false" outlineLevel="0" collapsed="false">
      <c r="B21" s="42" t="str">
        <f aca="false">IF(Paramètres!I8="","",Paramètres!I8)</f>
        <v>Yacine</v>
      </c>
      <c r="C21" s="42" t="n">
        <f aca="false">IF(B21="","",COUNTIF(Tâches!$D$5:$D$104,B21))</f>
        <v>5</v>
      </c>
      <c r="D21" s="42" t="n">
        <f aca="false">IF(B21="","",COUNTIFS(Tâches!$D$5:$D$104,B21,Tâches!$F$5:$F$104,"&lt;&gt;"&amp;Paramètres!$B$9))</f>
        <v>4</v>
      </c>
      <c r="E21" s="42" t="n">
        <f aca="false">IF(B21="","",COUNTIFS(Tâches!$D$5:$D$104,B21,Tâches!$N$5:$N$104,"⚠ En retard"))</f>
        <v>0</v>
      </c>
      <c r="F21" s="42" t="n">
        <f aca="false">IF(B21="","",SUMIFS(Tâches!$G$5:$G$104,Tâches!$D$5:$D$104,B21,Tâches!$F$5:$F$104,"&lt;&gt;"&amp;Paramètres!$B$9))</f>
        <v>92</v>
      </c>
      <c r="G21" s="42" t="n">
        <f aca="false">IF(B21="","",Paramètres!J8)</f>
        <v>35</v>
      </c>
      <c r="H21" s="43" t="n">
        <f aca="false">IF(OR(B21="",G21=0),"",F21/G21)</f>
        <v>2.62857142857143</v>
      </c>
      <c r="J21" s="42" t="str">
        <f aca="false">TEXT(DAY(L21),"00")&amp;"/"&amp;TEXT(MONTH(L21),"00")</f>
        <v>14/09</v>
      </c>
      <c r="K21" s="42" t="n">
        <f aca="false">COUNTIFS(Tâches!$K$5:$K$104,"&gt;="&amp;L21,Tâches!$K$5:$K$104,"&lt;="&amp;(L21+6),Tâches!$F$5:$F$104,Paramètres!$B$9)</f>
        <v>2</v>
      </c>
      <c r="L21" s="44" t="n">
        <f aca="false">Paramètres!$C$12-WEEKDAY(Paramètres!$C$12,2)+1-7*4</f>
        <v>46279</v>
      </c>
    </row>
    <row r="22" customFormat="false" ht="15" hidden="false" customHeight="false" outlineLevel="0" collapsed="false">
      <c r="B22" s="42" t="str">
        <f aca="false">IF(Paramètres!I9="","",Paramètres!I9)</f>
        <v/>
      </c>
      <c r="C22" s="42" t="str">
        <f aca="false">IF(B22="","",COUNTIF(Tâches!$D$5:$D$104,B22))</f>
        <v/>
      </c>
      <c r="D22" s="42" t="str">
        <f aca="false">IF(B22="","",COUNTIFS(Tâches!$D$5:$D$104,B22,Tâches!$F$5:$F$104,"&lt;&gt;"&amp;Paramètres!$B$9))</f>
        <v/>
      </c>
      <c r="E22" s="42" t="str">
        <f aca="false">IF(B22="","",COUNTIFS(Tâches!$D$5:$D$104,B22,Tâches!$N$5:$N$104,"⚠ En retard"))</f>
        <v/>
      </c>
      <c r="F22" s="42" t="str">
        <f aca="false">IF(B22="","",SUMIFS(Tâches!$G$5:$G$104,Tâches!$D$5:$D$104,B22,Tâches!$F$5:$F$104,"&lt;&gt;"&amp;Paramètres!$B$9))</f>
        <v/>
      </c>
      <c r="G22" s="42" t="str">
        <f aca="false">IF(B22="","",Paramètres!J9)</f>
        <v/>
      </c>
      <c r="H22" s="43" t="str">
        <f aca="false">IF(OR(B22="",G22=0),"",F22/G22)</f>
        <v/>
      </c>
      <c r="J22" s="42" t="str">
        <f aca="false">TEXT(DAY(L22),"00")&amp;"/"&amp;TEXT(MONTH(L22),"00")</f>
        <v>21/09</v>
      </c>
      <c r="K22" s="42" t="n">
        <f aca="false">COUNTIFS(Tâches!$K$5:$K$104,"&gt;="&amp;L22,Tâches!$K$5:$K$104,"&lt;="&amp;(L22+6),Tâches!$F$5:$F$104,Paramètres!$B$9)</f>
        <v>1</v>
      </c>
      <c r="L22" s="44" t="n">
        <f aca="false">Paramètres!$C$12-WEEKDAY(Paramètres!$C$12,2)+1-7*3</f>
        <v>46286</v>
      </c>
    </row>
    <row r="23" customFormat="false" ht="15" hidden="false" customHeight="false" outlineLevel="0" collapsed="false">
      <c r="B23" s="42" t="str">
        <f aca="false">IF(Paramètres!I10="","",Paramètres!I10)</f>
        <v/>
      </c>
      <c r="C23" s="42" t="str">
        <f aca="false">IF(B23="","",COUNTIF(Tâches!$D$5:$D$104,B23))</f>
        <v/>
      </c>
      <c r="D23" s="42" t="str">
        <f aca="false">IF(B23="","",COUNTIFS(Tâches!$D$5:$D$104,B23,Tâches!$F$5:$F$104,"&lt;&gt;"&amp;Paramètres!$B$9))</f>
        <v/>
      </c>
      <c r="E23" s="42" t="str">
        <f aca="false">IF(B23="","",COUNTIFS(Tâches!$D$5:$D$104,B23,Tâches!$N$5:$N$104,"⚠ En retard"))</f>
        <v/>
      </c>
      <c r="F23" s="42" t="str">
        <f aca="false">IF(B23="","",SUMIFS(Tâches!$G$5:$G$104,Tâches!$D$5:$D$104,B23,Tâches!$F$5:$F$104,"&lt;&gt;"&amp;Paramètres!$B$9))</f>
        <v/>
      </c>
      <c r="G23" s="42" t="str">
        <f aca="false">IF(B23="","",Paramètres!J10)</f>
        <v/>
      </c>
      <c r="H23" s="43" t="str">
        <f aca="false">IF(OR(B23="",G23=0),"",F23/G23)</f>
        <v/>
      </c>
      <c r="J23" s="42" t="str">
        <f aca="false">TEXT(DAY(L23),"00")&amp;"/"&amp;TEXT(MONTH(L23),"00")</f>
        <v>28/09</v>
      </c>
      <c r="K23" s="42" t="n">
        <f aca="false">COUNTIFS(Tâches!$K$5:$K$104,"&gt;="&amp;L23,Tâches!$K$5:$K$104,"&lt;="&amp;(L23+6),Tâches!$F$5:$F$104,Paramètres!$B$9)</f>
        <v>2</v>
      </c>
      <c r="L23" s="44" t="n">
        <f aca="false">Paramètres!$C$12-WEEKDAY(Paramètres!$C$12,2)+1-7*2</f>
        <v>46293</v>
      </c>
    </row>
    <row r="24" customFormat="false" ht="15" hidden="false" customHeight="false" outlineLevel="0" collapsed="false">
      <c r="B24" s="2" t="s">
        <v>79</v>
      </c>
      <c r="J24" s="42" t="str">
        <f aca="false">TEXT(DAY(L24),"00")&amp;"/"&amp;TEXT(MONTH(L24),"00")</f>
        <v>05/10</v>
      </c>
      <c r="K24" s="42" t="n">
        <f aca="false">COUNTIFS(Tâches!$K$5:$K$104,"&gt;="&amp;L24,Tâches!$K$5:$K$104,"&lt;="&amp;(L24+6),Tâches!$F$5:$F$104,Paramètres!$B$9)</f>
        <v>2</v>
      </c>
      <c r="L24" s="44" t="n">
        <f aca="false">Paramètres!$C$12-WEEKDAY(Paramètres!$C$12,2)+1-7*1</f>
        <v>46300</v>
      </c>
    </row>
    <row r="25" customFormat="false" ht="15" hidden="false" customHeight="false" outlineLevel="0" collapsed="false">
      <c r="J25" s="42" t="str">
        <f aca="false">TEXT(DAY(L25),"00")&amp;"/"&amp;TEXT(MONTH(L25),"00")</f>
        <v>12/10</v>
      </c>
      <c r="K25" s="42" t="n">
        <f aca="false">COUNTIFS(Tâches!$K$5:$K$104,"&gt;="&amp;L25,Tâches!$K$5:$K$104,"&lt;="&amp;(L25+6),Tâches!$F$5:$F$104,Paramètres!$B$9)</f>
        <v>0</v>
      </c>
      <c r="L25" s="44" t="n">
        <f aca="false">Paramètres!$C$12-WEEKDAY(Paramètres!$C$12,2)+1-7*0</f>
        <v>46307</v>
      </c>
    </row>
    <row r="26" customFormat="false" ht="15" hidden="false" customHeight="false" outlineLevel="0" collapsed="false">
      <c r="B26" s="45" t="s">
        <v>80</v>
      </c>
      <c r="D26" s="45" t="n">
        <f aca="false">SUMIFS(Tâches!$G$5:$G$104,Tâches!$F$5:$F$104,"&lt;&gt;"&amp;Paramètres!$B$9,Tâches!$B$5:$B$104,"&lt;&gt;")</f>
        <v>171</v>
      </c>
      <c r="J26" s="2" t="s">
        <v>81</v>
      </c>
    </row>
    <row r="27" customFormat="false" ht="15" hidden="false" customHeight="false" outlineLevel="0" collapsed="false">
      <c r="B27" s="45" t="s">
        <v>82</v>
      </c>
      <c r="D27" s="46" t="n">
        <f aca="false">AVERAGE(K22:K25)</f>
        <v>1.25</v>
      </c>
      <c r="E27" s="47" t="s">
        <v>83</v>
      </c>
    </row>
  </sheetData>
  <mergeCells count="12">
    <mergeCell ref="B4:C4"/>
    <mergeCell ref="D4:E4"/>
    <mergeCell ref="F4:G4"/>
    <mergeCell ref="H4:I4"/>
    <mergeCell ref="J4:K4"/>
    <mergeCell ref="L4:M4"/>
    <mergeCell ref="B5:C5"/>
    <mergeCell ref="D5:E5"/>
    <mergeCell ref="F5:G5"/>
    <mergeCell ref="H5:I5"/>
    <mergeCell ref="J5:K5"/>
    <mergeCell ref="L5:M5"/>
  </mergeCells>
  <conditionalFormatting sqref="H18:H23">
    <cfRule type="expression" priority="2" aboveAverage="0" equalAverage="0" bottom="0" percent="0" rank="0" text="" dxfId="17">
      <formula>AND(ISNUMBER(H18),H18&gt;3)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4" min="3" style="0" width="14"/>
    <col collapsed="false" customWidth="true" hidden="false" outlineLevel="0" max="6" min="5" style="0" width="3"/>
    <col collapsed="false" customWidth="true" hidden="false" outlineLevel="0" max="7" min="7" style="0" width="14"/>
    <col collapsed="false" customWidth="true" hidden="false" outlineLevel="0" max="8" min="8" style="0" width="3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1" min="11" style="0" width="3"/>
    <col collapsed="false" customWidth="true" hidden="false" outlineLevel="0" max="12" min="12" style="0" width="18"/>
    <col collapsed="false" customWidth="true" hidden="false" outlineLevel="0" max="13" min="13" style="0" width="3"/>
    <col collapsed="false" customWidth="true" hidden="false" outlineLevel="0" max="14" min="14" style="0" width="16"/>
  </cols>
  <sheetData>
    <row r="2" customFormat="false" ht="19.7" hidden="false" customHeight="false" outlineLevel="0" collapsed="false">
      <c r="B2" s="48" t="s">
        <v>84</v>
      </c>
    </row>
    <row r="3" customFormat="false" ht="15" hidden="false" customHeight="false" outlineLevel="0" collapsed="false">
      <c r="B3" s="2" t="s">
        <v>85</v>
      </c>
    </row>
    <row r="4" customFormat="false" ht="26.85" hidden="false" customHeight="false" outlineLevel="0" collapsed="false">
      <c r="B4" s="20" t="s">
        <v>11</v>
      </c>
      <c r="C4" s="20" t="s">
        <v>86</v>
      </c>
      <c r="D4" s="20" t="s">
        <v>87</v>
      </c>
      <c r="G4" s="20" t="s">
        <v>10</v>
      </c>
      <c r="I4" s="20" t="s">
        <v>88</v>
      </c>
      <c r="J4" s="20" t="s">
        <v>89</v>
      </c>
      <c r="L4" s="20" t="s">
        <v>8</v>
      </c>
      <c r="N4" s="20" t="s">
        <v>90</v>
      </c>
    </row>
    <row r="5" customFormat="false" ht="15" hidden="false" customHeight="false" outlineLevel="0" collapsed="false">
      <c r="B5" s="23" t="s">
        <v>60</v>
      </c>
      <c r="C5" s="23"/>
      <c r="D5" s="49" t="n">
        <v>0</v>
      </c>
      <c r="G5" s="23" t="s">
        <v>30</v>
      </c>
      <c r="I5" s="23" t="s">
        <v>29</v>
      </c>
      <c r="J5" s="23" t="n">
        <v>35</v>
      </c>
      <c r="L5" s="23" t="s">
        <v>28</v>
      </c>
      <c r="N5" s="50" t="s">
        <v>3</v>
      </c>
    </row>
    <row r="6" customFormat="false" ht="15" hidden="false" customHeight="false" outlineLevel="0" collapsed="false">
      <c r="B6" s="23" t="s">
        <v>55</v>
      </c>
      <c r="C6" s="23" t="n">
        <v>8</v>
      </c>
      <c r="D6" s="49" t="n">
        <v>0</v>
      </c>
      <c r="G6" s="23" t="s">
        <v>34</v>
      </c>
      <c r="I6" s="23" t="s">
        <v>33</v>
      </c>
      <c r="J6" s="23" t="n">
        <v>35</v>
      </c>
      <c r="L6" s="23" t="s">
        <v>39</v>
      </c>
      <c r="N6" s="50" t="str">
        <f aca="false">IF(I5="","",I5)</f>
        <v>Alice</v>
      </c>
    </row>
    <row r="7" customFormat="false" ht="15" hidden="false" customHeight="false" outlineLevel="0" collapsed="false">
      <c r="B7" s="23" t="s">
        <v>49</v>
      </c>
      <c r="C7" s="23" t="n">
        <v>4</v>
      </c>
      <c r="D7" s="49" t="n">
        <v>0.5</v>
      </c>
      <c r="G7" s="23" t="s">
        <v>52</v>
      </c>
      <c r="I7" s="23" t="s">
        <v>37</v>
      </c>
      <c r="J7" s="23" t="n">
        <v>30</v>
      </c>
      <c r="L7" s="23" t="s">
        <v>41</v>
      </c>
      <c r="N7" s="50" t="str">
        <f aca="false">IF(I6="","",I6)</f>
        <v>Karim</v>
      </c>
    </row>
    <row r="8" customFormat="false" ht="15" hidden="false" customHeight="false" outlineLevel="0" collapsed="false">
      <c r="B8" s="23" t="s">
        <v>46</v>
      </c>
      <c r="C8" s="23" t="n">
        <v>3</v>
      </c>
      <c r="D8" s="49" t="n">
        <v>0.9</v>
      </c>
      <c r="G8" s="42"/>
      <c r="I8" s="23" t="s">
        <v>42</v>
      </c>
      <c r="J8" s="23" t="n">
        <v>35</v>
      </c>
      <c r="L8" s="23" t="s">
        <v>36</v>
      </c>
      <c r="N8" s="50" t="str">
        <f aca="false">IF(I7="","",I7)</f>
        <v>Sara</v>
      </c>
    </row>
    <row r="9" customFormat="false" ht="15" hidden="false" customHeight="false" outlineLevel="0" collapsed="false">
      <c r="B9" s="23" t="s">
        <v>31</v>
      </c>
      <c r="C9" s="23"/>
      <c r="D9" s="49" t="n">
        <v>1</v>
      </c>
      <c r="G9" s="42"/>
      <c r="I9" s="23"/>
      <c r="J9" s="23"/>
      <c r="L9" s="23" t="s">
        <v>54</v>
      </c>
      <c r="N9" s="50" t="str">
        <f aca="false">IF(I8="","",I8)</f>
        <v>Yacine</v>
      </c>
    </row>
    <row r="10" customFormat="false" ht="15" hidden="false" customHeight="false" outlineLevel="0" collapsed="false">
      <c r="B10" s="42"/>
      <c r="C10" s="42"/>
      <c r="D10" s="42"/>
      <c r="G10" s="42"/>
      <c r="I10" s="23"/>
      <c r="J10" s="23"/>
      <c r="L10" s="23"/>
      <c r="N10" s="50" t="str">
        <f aca="false">IF(I9="","",I9)</f>
        <v/>
      </c>
    </row>
    <row r="11" customFormat="false" ht="15" hidden="false" customHeight="false" outlineLevel="0" collapsed="false">
      <c r="B11" s="42"/>
      <c r="C11" s="42"/>
      <c r="D11" s="42"/>
      <c r="G11" s="42"/>
      <c r="I11" s="42"/>
      <c r="J11" s="42"/>
      <c r="L11" s="42"/>
      <c r="N11" s="50" t="str">
        <f aca="false">IF(I10="","",I10)</f>
        <v/>
      </c>
    </row>
    <row r="12" customFormat="false" ht="15" hidden="false" customHeight="false" outlineLevel="0" collapsed="false">
      <c r="B12" s="42" t="s">
        <v>91</v>
      </c>
      <c r="C12" s="51" t="n">
        <f aca="true">TODAY()</f>
        <v>46308</v>
      </c>
    </row>
    <row r="13" customFormat="false" ht="15" hidden="false" customHeight="false" outlineLevel="0" collapsed="false">
      <c r="B13" s="42" t="s">
        <v>92</v>
      </c>
      <c r="C13" s="23" t="n">
        <v>3</v>
      </c>
    </row>
    <row r="14" customFormat="false" ht="15" hidden="false" customHeight="false" outlineLevel="0" collapsed="false">
      <c r="B14" s="2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2" customFormat="false" ht="17.35" hidden="false" customHeight="false" outlineLevel="0" collapsed="false">
      <c r="B2" s="52" t="s">
        <v>94</v>
      </c>
    </row>
    <row r="3" customFormat="false" ht="15" hidden="false" customHeight="false" outlineLevel="0" collapsed="false">
      <c r="B3" s="53"/>
    </row>
    <row r="4" customFormat="false" ht="15" hidden="false" customHeight="false" outlineLevel="0" collapsed="false">
      <c r="B4" s="53" t="s">
        <v>95</v>
      </c>
    </row>
    <row r="5" customFormat="false" ht="15" hidden="false" customHeight="false" outlineLevel="0" collapsed="false">
      <c r="B5" s="53" t="s">
        <v>96</v>
      </c>
    </row>
    <row r="6" customFormat="false" ht="15" hidden="false" customHeight="false" outlineLevel="0" collapsed="false">
      <c r="B6" s="53" t="s">
        <v>97</v>
      </c>
    </row>
    <row r="7" customFormat="false" ht="15" hidden="false" customHeight="false" outlineLevel="0" collapsed="false">
      <c r="B7" s="53" t="s">
        <v>98</v>
      </c>
    </row>
    <row r="8" customFormat="false" ht="15" hidden="false" customHeight="false" outlineLevel="0" collapsed="false">
      <c r="B8" s="53"/>
    </row>
    <row r="9" customFormat="false" ht="17.35" hidden="false" customHeight="false" outlineLevel="0" collapsed="false">
      <c r="B9" s="52" t="s">
        <v>99</v>
      </c>
    </row>
    <row r="10" customFormat="false" ht="15" hidden="false" customHeight="false" outlineLevel="0" collapsed="false">
      <c r="B10" s="53" t="s">
        <v>100</v>
      </c>
    </row>
    <row r="11" customFormat="false" ht="15" hidden="false" customHeight="false" outlineLevel="0" collapsed="false">
      <c r="B11" s="53" t="s">
        <v>101</v>
      </c>
    </row>
    <row r="12" customFormat="false" ht="15" hidden="false" customHeight="false" outlineLevel="0" collapsed="false">
      <c r="B12" s="53" t="s">
        <v>102</v>
      </c>
    </row>
    <row r="13" customFormat="false" ht="15" hidden="false" customHeight="false" outlineLevel="0" collapsed="false">
      <c r="B13" s="53" t="s">
        <v>103</v>
      </c>
    </row>
    <row r="14" customFormat="false" ht="15" hidden="false" customHeight="false" outlineLevel="0" collapsed="false">
      <c r="B14" s="53"/>
    </row>
    <row r="15" customFormat="false" ht="17.35" hidden="false" customHeight="false" outlineLevel="0" collapsed="false">
      <c r="B15" s="52" t="s">
        <v>104</v>
      </c>
    </row>
    <row r="16" customFormat="false" ht="15" hidden="false" customHeight="false" outlineLevel="0" collapsed="false">
      <c r="B16" s="53" t="s">
        <v>105</v>
      </c>
    </row>
    <row r="17" customFormat="false" ht="15" hidden="false" customHeight="false" outlineLevel="0" collapsed="false">
      <c r="B17" s="53" t="s">
        <v>106</v>
      </c>
    </row>
    <row r="18" customFormat="false" ht="15" hidden="false" customHeight="false" outlineLevel="0" collapsed="false">
      <c r="B18" s="53" t="s">
        <v>107</v>
      </c>
    </row>
    <row r="19" customFormat="false" ht="15" hidden="false" customHeight="false" outlineLevel="0" collapsed="false">
      <c r="B19" s="53"/>
    </row>
    <row r="20" customFormat="false" ht="15" hidden="false" customHeight="false" outlineLevel="0" collapsed="false">
      <c r="B20" s="53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2026-10-13T12:34:31Z</dcterms:created>
  <dc:creator>openpyxl</dc:creator>
  <dc:description/>
  <dc:language>en-US</dc:language>
  <cp:lastModifiedBy/>
  <dcterms:modified xsi:type="dcterms:W3CDTF">2026-10-13T12:34:33Z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